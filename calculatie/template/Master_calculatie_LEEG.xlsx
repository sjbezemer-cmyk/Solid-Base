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Toelichting" sheetId="1" state="visible" r:id="rId1"/>
    <sheet name="1 | Front cover" sheetId="2" state="visible" r:id="rId2"/>
    <sheet name="2 | Basic principles" sheetId="3" state="visible" r:id="rId3"/>
    <sheet name="3 | Summary sheet" sheetId="4" state="visible" r:id="rId4"/>
    <sheet name="4 | Calculation" sheetId="5" state="visible" r:id="rId5"/>
    <sheet name="Input Procore budget" sheetId="6" state="visible" r:id="rId6"/>
    <sheet name="Measurement sheet" sheetId="7" state="visible" r:id="rId7"/>
    <sheet name="Check quote amounts" sheetId="8" state="visible" r:id="rId8"/>
    <sheet name="Data" sheetId="9" state="hidden" r:id="rId9"/>
  </sheets>
  <definedNames>
    <definedName name="Categorie">Data!$A$2:$A$7</definedName>
    <definedName name="_xlnm.Print_Area" localSheetId="2">'2 | Basic principles'!$A$1:$H$62</definedName>
    <definedName name="_xlnm.Print_Area" localSheetId="3">'3 | Summary sheet'!$A$1:$H$79</definedName>
    <definedName name="_xlnm.Print_Area" localSheetId="4">'4 | Calculation'!$A$1:$J$624</definedName>
    <definedName name="_xlnm.Print_Area" localSheetId="6">'Measurement sheet'!$A$1:$K$54</definedName>
    <definedName name="_xlnm.Print_Area" localSheetId="7">'Check quote amounts'!$A$1:$G$42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 * #,##0.00_ ;_ * \-#,##0.00_ ;_ * &quot;-&quot;??_ ;_ @_ "/>
    <numFmt numFmtId="166" formatCode="_ * #,##0_ ;_ * \-#,##0_ ;_ * &quot;-&quot;??_ ;_ @_ "/>
    <numFmt numFmtId="167" formatCode="_ &quot;€&quot;\ * #,##0.00_ ;_ &quot;€&quot;\ * \-#,##0.00_ ;_ &quot;€&quot;\ * &quot;-&quot;??_ ;_ @_ "/>
    <numFmt numFmtId="168" formatCode="0.0"/>
    <numFmt numFmtId="169" formatCode="#,##0.0"/>
    <numFmt numFmtId="170" formatCode="_([$€-2]\ * #,##0.00_);_([$€-2]\ * \(#,##0.00\);_([$€-2]\ * &quot;-&quot;??_);_(@_)"/>
    <numFmt numFmtId="171" formatCode="_ [$€-413]\ * #,##0.00_ ;_ [$€-413]\ * \-#,##0.00_ ;_ [$€-413]\ * &quot;-&quot;??_ ;_ @_ "/>
    <numFmt numFmtId="172" formatCode="_ &quot;€&quot;\ * #,##0_ ;_ &quot;€&quot;\ * \-#,##0_ ;_ &quot;€&quot;\ * &quot;-&quot;??_ ;_ @_ "/>
  </numFmts>
  <fonts count="31">
    <font>
      <name val="Verdana"/>
      <family val="2"/>
      <color theme="1"/>
      <sz val="9"/>
    </font>
    <font>
      <name val="Verdana"/>
      <family val="2"/>
      <color theme="1"/>
      <sz val="9"/>
    </font>
    <font>
      <name val="Verdana"/>
      <family val="2"/>
      <sz val="8"/>
    </font>
    <font>
      <name val="Rogan Light"/>
      <color theme="1"/>
      <sz val="9"/>
    </font>
    <font>
      <name val="Rogan Light"/>
      <color theme="0"/>
      <sz val="12"/>
    </font>
    <font>
      <name val="Rogan SemiBold"/>
      <color theme="0"/>
      <sz val="24"/>
    </font>
    <font>
      <name val="Rogan Light"/>
      <color theme="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sz val="8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i val="1"/>
      <color theme="1"/>
      <sz val="10"/>
      <u val="single"/>
    </font>
    <font>
      <name val="Arial"/>
      <family val="2"/>
      <i val="1"/>
      <color theme="1"/>
      <sz val="10"/>
    </font>
    <font>
      <name val="Arial"/>
      <family val="2"/>
      <color theme="1"/>
      <sz val="10"/>
      <u val="single"/>
    </font>
    <font>
      <name val="Arial"/>
      <family val="2"/>
      <color theme="1" tint="0.499984740745262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 tint="0.499984740745262"/>
      <sz val="10"/>
      <u val="single"/>
    </font>
    <font>
      <name val="Arial"/>
      <family val="2"/>
      <color rgb="FF808080"/>
      <sz val="10"/>
    </font>
    <font>
      <name val="Arial"/>
      <family val="2"/>
      <i val="1"/>
      <color rgb="FF808080"/>
      <sz val="10"/>
    </font>
    <font>
      <name val="Arial"/>
      <family val="2"/>
      <sz val="10"/>
      <u val="single"/>
    </font>
    <font>
      <name val="Arial"/>
      <family val="2"/>
      <b val="1"/>
      <i val="1"/>
      <sz val="10"/>
    </font>
    <font>
      <name val="Aptos Narrow"/>
      <family val="2"/>
      <color theme="1"/>
      <sz val="10"/>
    </font>
    <font>
      <name val="Arial"/>
      <family val="2"/>
      <b val="1"/>
      <color rgb="FFFF0000"/>
      <sz val="10"/>
    </font>
  </fonts>
  <fills count="17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57C2E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03865"/>
        <bgColor indexed="64"/>
      </patternFill>
    </fill>
    <fill>
      <patternFill patternType="solid">
        <fgColor rgb="FFE6F4F6"/>
        <bgColor indexed="64"/>
      </patternFill>
    </fill>
    <fill>
      <patternFill patternType="solid">
        <fgColor rgb="FF1D1740"/>
        <bgColor indexed="64"/>
      </patternFill>
    </fill>
    <fill>
      <patternFill patternType="solid">
        <fgColor rgb="FF545859"/>
        <bgColor indexed="64"/>
      </patternFill>
    </fill>
    <fill>
      <patternFill patternType="solid">
        <fgColor rgb="FFD4D5D6"/>
        <bgColor indexed="64"/>
      </patternFill>
    </fill>
    <fill>
      <patternFill patternType="solid">
        <fgColor rgb="FFEAEBEB"/>
        <bgColor indexed="64"/>
      </patternFill>
    </fill>
    <fill>
      <patternFill patternType="solid">
        <fgColor rgb="FF1D1740"/>
        <bgColor rgb="FF000000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rgb="FFFF0000"/>
      </left>
      <right/>
      <top/>
      <bottom/>
      <diagonal/>
    </border>
    <border>
      <left/>
      <right style="hair">
        <color rgb="FFFF0000"/>
      </right>
      <top/>
      <bottom/>
      <diagonal/>
    </border>
    <border>
      <left style="hair">
        <color rgb="FFFF0000"/>
      </left>
      <right/>
      <top style="hair">
        <color auto="1"/>
      </top>
      <bottom/>
      <diagonal/>
    </border>
    <border>
      <left/>
      <right style="hair">
        <color rgb="FFFF0000"/>
      </right>
      <top style="hair">
        <color auto="1"/>
      </top>
      <bottom/>
      <diagonal/>
    </border>
    <border>
      <left style="hair">
        <color rgb="FFFF0000"/>
      </left>
      <right/>
      <top/>
      <bottom style="hair">
        <color auto="1"/>
      </bottom>
      <diagonal/>
    </border>
    <border>
      <left/>
      <right style="hair">
        <color rgb="FFFF0000"/>
      </right>
      <top/>
      <bottom style="hair">
        <color auto="1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dotted">
        <color rgb="FFFF0000"/>
      </top>
      <bottom style="thick">
        <color rgb="FFFF0000"/>
      </bottom>
      <diagonal/>
    </border>
    <border>
      <left/>
      <right/>
      <top style="dotted">
        <color rgb="FFFF0000"/>
      </top>
      <bottom style="thick">
        <color rgb="FFFF0000"/>
      </bottom>
      <diagonal/>
    </border>
    <border>
      <left/>
      <right style="thick">
        <color rgb="FFFF0000"/>
      </right>
      <top style="dotted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dotted">
        <color rgb="FFFF0000"/>
      </bottom>
      <diagonal/>
    </border>
    <border>
      <left/>
      <right/>
      <top style="thick">
        <color rgb="FFFF0000"/>
      </top>
      <bottom style="dotted">
        <color rgb="FFFF0000"/>
      </bottom>
      <diagonal/>
    </border>
    <border>
      <left/>
      <right style="thick">
        <color rgb="FFFF0000"/>
      </right>
      <top style="thick">
        <color rgb="FFFF0000"/>
      </top>
      <bottom style="dotted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rgb="FFFF0000"/>
      </left>
      <right style="hair">
        <color rgb="FFFF0000"/>
      </right>
      <top/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9" fontId="1" fillId="0" borderId="0"/>
    <xf numFmtId="0" fontId="9" fillId="0" borderId="0"/>
  </cellStyleXfs>
  <cellXfs count="53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5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11" borderId="23" pivotButton="0" quotePrefix="0" xfId="0"/>
    <xf numFmtId="0" fontId="11" fillId="11" borderId="23" applyAlignment="1" pivotButton="0" quotePrefix="1" xfId="0">
      <alignment horizontal="left"/>
    </xf>
    <xf numFmtId="0" fontId="11" fillId="11" borderId="9" applyAlignment="1" pivotButton="0" quotePrefix="1" xfId="0">
      <alignment horizontal="left"/>
    </xf>
    <xf numFmtId="0" fontId="12" fillId="3" borderId="0" pivotButton="0" quotePrefix="0" xfId="0"/>
    <xf numFmtId="0" fontId="12" fillId="3" borderId="4" pivotButton="0" quotePrefix="0" xfId="0"/>
    <xf numFmtId="0" fontId="12" fillId="3" borderId="5" pivotButton="0" quotePrefix="0" xfId="0"/>
    <xf numFmtId="0" fontId="12" fillId="3" borderId="22" pivotButton="0" quotePrefix="0" xfId="0"/>
    <xf numFmtId="0" fontId="12" fillId="3" borderId="14" pivotButton="0" quotePrefix="0" xfId="0"/>
    <xf numFmtId="10" fontId="12" fillId="3" borderId="22" pivotButton="0" quotePrefix="1" xfId="0"/>
    <xf numFmtId="0" fontId="12" fillId="3" borderId="6" pivotButton="0" quotePrefix="0" xfId="0"/>
    <xf numFmtId="0" fontId="12" fillId="3" borderId="13" pivotButton="0" quotePrefix="0" xfId="0"/>
    <xf numFmtId="0" fontId="11" fillId="11" borderId="7" applyAlignment="1" pivotButton="0" quotePrefix="0" xfId="0">
      <alignment horizontal="left"/>
    </xf>
    <xf numFmtId="0" fontId="12" fillId="3" borderId="4" applyAlignment="1" pivotButton="0" quotePrefix="0" xfId="0">
      <alignment horizontal="left"/>
    </xf>
    <xf numFmtId="0" fontId="12" fillId="3" borderId="11" applyAlignment="1" pivotButton="0" quotePrefix="0" xfId="0">
      <alignment horizontal="left"/>
    </xf>
    <xf numFmtId="0" fontId="12" fillId="3" borderId="12" pivotButton="0" quotePrefix="0" xfId="0"/>
    <xf numFmtId="0" fontId="12" fillId="3" borderId="5" applyAlignment="1" pivotButton="0" quotePrefix="0" xfId="0">
      <alignment horizontal="left"/>
    </xf>
    <xf numFmtId="0" fontId="12" fillId="3" borderId="24" applyAlignment="1" pivotButton="0" quotePrefix="0" xfId="0">
      <alignment horizontal="left"/>
    </xf>
    <xf numFmtId="0" fontId="12" fillId="3" borderId="6" applyAlignment="1" pivotButton="0" quotePrefix="0" xfId="0">
      <alignment horizontal="left"/>
    </xf>
    <xf numFmtId="0" fontId="12" fillId="3" borderId="10" applyAlignment="1" pivotButton="0" quotePrefix="0" xfId="0">
      <alignment horizontal="left"/>
    </xf>
    <xf numFmtId="0" fontId="12" fillId="3" borderId="2" pivotButton="0" quotePrefix="0" xfId="0"/>
    <xf numFmtId="0" fontId="12" fillId="3" borderId="0" applyAlignment="1" pivotButton="0" quotePrefix="0" xfId="0">
      <alignment horizontal="left"/>
    </xf>
    <xf numFmtId="0" fontId="12" fillId="3" borderId="24" pivotButton="0" quotePrefix="0" xfId="0"/>
    <xf numFmtId="0" fontId="12" fillId="3" borderId="11" pivotButton="0" quotePrefix="0" xfId="0"/>
    <xf numFmtId="0" fontId="12" fillId="3" borderId="10" pivotButton="0" quotePrefix="0" xfId="0"/>
    <xf numFmtId="0" fontId="12" fillId="3" borderId="24" pivotButton="0" quotePrefix="1" xfId="0"/>
    <xf numFmtId="0" fontId="10" fillId="11" borderId="8" pivotButton="0" quotePrefix="0" xfId="0"/>
    <xf numFmtId="0" fontId="10" fillId="11" borderId="9" pivotButton="0" quotePrefix="0" xfId="0"/>
    <xf numFmtId="0" fontId="14" fillId="3" borderId="0" applyAlignment="1" pivotButton="0" quotePrefix="0" xfId="0">
      <alignment vertical="center"/>
    </xf>
    <xf numFmtId="0" fontId="13" fillId="3" borderId="20" pivotButton="0" quotePrefix="0" xfId="0"/>
    <xf numFmtId="0" fontId="13" fillId="3" borderId="8" pivotButton="0" quotePrefix="0" xfId="0"/>
    <xf numFmtId="0" fontId="13" fillId="3" borderId="9" pivotButton="0" quotePrefix="0" xfId="0"/>
    <xf numFmtId="0" fontId="16" fillId="3" borderId="0" pivotButton="0" quotePrefix="0" xfId="0"/>
    <xf numFmtId="0" fontId="13" fillId="3" borderId="3" pivotButton="0" quotePrefix="0" xfId="0"/>
    <xf numFmtId="14" fontId="12" fillId="3" borderId="8" applyAlignment="1" pivotButton="0" quotePrefix="0" xfId="0">
      <alignment horizontal="center"/>
    </xf>
    <xf numFmtId="0" fontId="16" fillId="3" borderId="9" pivotButton="0" quotePrefix="0" xfId="0"/>
    <xf numFmtId="0" fontId="13" fillId="3" borderId="3" applyAlignment="1" pivotButton="0" quotePrefix="0" xfId="0">
      <alignment horizontal="left"/>
    </xf>
    <xf numFmtId="0" fontId="16" fillId="3" borderId="2" pivotButton="0" quotePrefix="0" xfId="0"/>
    <xf numFmtId="14" fontId="12" fillId="3" borderId="2" applyAlignment="1" pivotButton="0" quotePrefix="0" xfId="0">
      <alignment horizontal="center"/>
    </xf>
    <xf numFmtId="0" fontId="16" fillId="3" borderId="13" pivotButton="0" quotePrefix="0" xfId="0"/>
    <xf numFmtId="0" fontId="16" fillId="3" borderId="0" applyAlignment="1" pivotButton="0" quotePrefix="0" xfId="0">
      <alignment horizontal="center"/>
    </xf>
    <xf numFmtId="0" fontId="15" fillId="3" borderId="0" applyAlignment="1" pivotButton="0" quotePrefix="1" xfId="0">
      <alignment horizontal="right"/>
    </xf>
    <xf numFmtId="0" fontId="15" fillId="3" borderId="0" applyAlignment="1" pivotButton="0" quotePrefix="0" xfId="0">
      <alignment horizontal="left"/>
    </xf>
    <xf numFmtId="0" fontId="15" fillId="2" borderId="8" applyAlignment="1" pivotButton="0" quotePrefix="0" xfId="0">
      <alignment vertical="top"/>
    </xf>
    <xf numFmtId="0" fontId="16" fillId="3" borderId="7" pivotButton="0" quotePrefix="0" xfId="0"/>
    <xf numFmtId="0" fontId="16" fillId="3" borderId="8" pivotButton="0" quotePrefix="0" xfId="0"/>
    <xf numFmtId="0" fontId="16" fillId="3" borderId="8" applyAlignment="1" pivotButton="0" quotePrefix="0" xfId="0">
      <alignment horizontal="center" vertical="top"/>
    </xf>
    <xf numFmtId="165" fontId="16" fillId="3" borderId="8" applyAlignment="1" pivotButton="0" quotePrefix="0" xfId="1">
      <alignment horizontal="center" vertical="top"/>
    </xf>
    <xf numFmtId="3" fontId="16" fillId="3" borderId="8" applyAlignment="1" pivotButton="0" quotePrefix="0" xfId="0">
      <alignment horizontal="center" vertical="top"/>
    </xf>
    <xf numFmtId="0" fontId="17" fillId="3" borderId="0" pivotButton="0" quotePrefix="0" xfId="0"/>
    <xf numFmtId="0" fontId="15" fillId="3" borderId="8" applyAlignment="1" pivotButton="0" quotePrefix="0" xfId="0">
      <alignment horizontal="center" vertical="top"/>
    </xf>
    <xf numFmtId="3" fontId="15" fillId="3" borderId="8" applyAlignment="1" pivotButton="0" quotePrefix="0" xfId="0">
      <alignment horizontal="center" vertical="top"/>
    </xf>
    <xf numFmtId="0" fontId="16" fillId="3" borderId="0" applyAlignment="1" pivotButton="0" quotePrefix="0" xfId="0">
      <alignment horizontal="center" vertical="top"/>
    </xf>
    <xf numFmtId="165" fontId="16" fillId="3" borderId="0" applyAlignment="1" pivotButton="0" quotePrefix="0" xfId="1">
      <alignment horizontal="center" vertical="top"/>
    </xf>
    <xf numFmtId="0" fontId="18" fillId="3" borderId="8" pivotButton="0" quotePrefix="0" xfId="0"/>
    <xf numFmtId="0" fontId="16" fillId="3" borderId="8" pivotButton="0" quotePrefix="1" xfId="0"/>
    <xf numFmtId="165" fontId="15" fillId="3" borderId="0" applyAlignment="1" pivotButton="0" quotePrefix="0" xfId="1">
      <alignment horizontal="right"/>
    </xf>
    <xf numFmtId="0" fontId="16" fillId="3" borderId="0" applyAlignment="1" pivotButton="0" quotePrefix="0" xfId="0">
      <alignment horizontal="center" vertical="top" wrapText="1"/>
    </xf>
    <xf numFmtId="165" fontId="16" fillId="3" borderId="0" applyAlignment="1" pivotButton="0" quotePrefix="0" xfId="1">
      <alignment horizontal="center" vertical="top" wrapText="1"/>
    </xf>
    <xf numFmtId="0" fontId="16" fillId="3" borderId="0" applyAlignment="1" pivotButton="0" quotePrefix="0" xfId="0">
      <alignment vertical="top"/>
    </xf>
    <xf numFmtId="165" fontId="16" fillId="3" borderId="0" applyAlignment="1" pivotButton="0" quotePrefix="0" xfId="1">
      <alignment vertical="top"/>
    </xf>
    <xf numFmtId="0" fontId="17" fillId="3" borderId="0" applyAlignment="1" pivotButton="0" quotePrefix="0" xfId="0">
      <alignment vertical="top"/>
    </xf>
    <xf numFmtId="165" fontId="17" fillId="3" borderId="0" applyAlignment="1" pivotButton="0" quotePrefix="0" xfId="1">
      <alignment vertical="top"/>
    </xf>
    <xf numFmtId="0" fontId="11" fillId="11" borderId="7" applyAlignment="1" pivotButton="0" quotePrefix="1" xfId="0">
      <alignment horizontal="right"/>
    </xf>
    <xf numFmtId="0" fontId="11" fillId="11" borderId="7" pivotButton="0" quotePrefix="0" xfId="0"/>
    <xf numFmtId="0" fontId="15" fillId="11" borderId="8" pivotButton="0" quotePrefix="0" xfId="0"/>
    <xf numFmtId="0" fontId="15" fillId="11" borderId="9" pivotButton="0" quotePrefix="0" xfId="0"/>
    <xf numFmtId="0" fontId="11" fillId="12" borderId="11" applyAlignment="1" pivotButton="0" quotePrefix="0" xfId="0">
      <alignment horizontal="center"/>
    </xf>
    <xf numFmtId="0" fontId="11" fillId="12" borderId="12" applyAlignment="1" pivotButton="0" quotePrefix="0" xfId="0">
      <alignment horizontal="left"/>
    </xf>
    <xf numFmtId="0" fontId="11" fillId="12" borderId="12" applyAlignment="1" pivotButton="0" quotePrefix="0" xfId="0">
      <alignment horizontal="center"/>
    </xf>
    <xf numFmtId="0" fontId="11" fillId="12" borderId="14" applyAlignment="1" pivotButton="0" quotePrefix="0" xfId="0">
      <alignment horizontal="center"/>
    </xf>
    <xf numFmtId="0" fontId="10" fillId="12" borderId="10" pivotButton="0" quotePrefix="0" xfId="0"/>
    <xf numFmtId="0" fontId="10" fillId="12" borderId="2" pivotButton="0" quotePrefix="0" xfId="0"/>
    <xf numFmtId="0" fontId="10" fillId="12" borderId="2" applyAlignment="1" pivotButton="0" quotePrefix="0" xfId="0">
      <alignment horizontal="center"/>
    </xf>
    <xf numFmtId="0" fontId="10" fillId="12" borderId="13" pivotButton="0" quotePrefix="0" xfId="0"/>
    <xf numFmtId="0" fontId="15" fillId="13" borderId="8" applyAlignment="1" pivotButton="0" quotePrefix="0" xfId="0">
      <alignment vertical="top"/>
    </xf>
    <xf numFmtId="0" fontId="15" fillId="13" borderId="9" applyAlignment="1" pivotButton="0" quotePrefix="0" xfId="0">
      <alignment vertical="top"/>
    </xf>
    <xf numFmtId="166" fontId="15" fillId="5" borderId="23" applyAlignment="1" applyProtection="1" pivotButton="0" quotePrefix="0" xfId="1">
      <alignment horizontal="right"/>
      <protection locked="0" hidden="0"/>
    </xf>
    <xf numFmtId="0" fontId="16" fillId="3" borderId="20" applyProtection="1" pivotButton="0" quotePrefix="0" xfId="0">
      <protection locked="0" hidden="0"/>
    </xf>
    <xf numFmtId="0" fontId="13" fillId="3" borderId="8" applyProtection="1" pivotButton="0" quotePrefix="0" xfId="0">
      <protection locked="0" hidden="0"/>
    </xf>
    <xf numFmtId="0" fontId="13" fillId="3" borderId="9" applyProtection="1" pivotButton="0" quotePrefix="0" xfId="0">
      <protection locked="0" hidden="0"/>
    </xf>
    <xf numFmtId="0" fontId="16" fillId="3" borderId="0" applyProtection="1" pivotButton="0" quotePrefix="0" xfId="0">
      <protection locked="0" hidden="0"/>
    </xf>
    <xf numFmtId="0" fontId="12" fillId="3" borderId="0" applyProtection="1" pivotButton="0" quotePrefix="0" xfId="0">
      <protection locked="0" hidden="0"/>
    </xf>
    <xf numFmtId="14" fontId="12" fillId="3" borderId="13" applyProtection="1" pivotButton="0" quotePrefix="0" xfId="0">
      <protection locked="0" hidden="0"/>
    </xf>
    <xf numFmtId="0" fontId="13" fillId="3" borderId="2" pivotButton="0" quotePrefix="0" xfId="0"/>
    <xf numFmtId="0" fontId="12" fillId="3" borderId="2" applyProtection="1" pivotButton="0" quotePrefix="0" xfId="0">
      <protection locked="0" hidden="0"/>
    </xf>
    <xf numFmtId="14" fontId="12" fillId="3" borderId="8" applyAlignment="1" applyProtection="1" pivotButton="0" quotePrefix="0" xfId="0">
      <alignment horizontal="center"/>
      <protection locked="0" hidden="0"/>
    </xf>
    <xf numFmtId="14" fontId="12" fillId="3" borderId="9" applyProtection="1" pivotButton="0" quotePrefix="0" xfId="0">
      <protection locked="0" hidden="0"/>
    </xf>
    <xf numFmtId="3" fontId="15" fillId="5" borderId="6" applyAlignment="1" applyProtection="1" pivotButton="0" quotePrefix="0" xfId="0">
      <alignment horizontal="center"/>
      <protection locked="0" hidden="0"/>
    </xf>
    <xf numFmtId="0" fontId="11" fillId="12" borderId="11" applyAlignment="1" applyProtection="1" pivotButton="0" quotePrefix="0" xfId="0">
      <alignment horizontal="center"/>
      <protection locked="0" hidden="0"/>
    </xf>
    <xf numFmtId="0" fontId="11" fillId="12" borderId="12" applyAlignment="1" applyProtection="1" pivotButton="0" quotePrefix="0" xfId="0">
      <alignment horizontal="center"/>
      <protection locked="0" hidden="0"/>
    </xf>
    <xf numFmtId="0" fontId="11" fillId="12" borderId="14" applyAlignment="1" applyProtection="1" pivotButton="0" quotePrefix="0" xfId="0">
      <alignment horizontal="center"/>
      <protection locked="0" hidden="0"/>
    </xf>
    <xf numFmtId="0" fontId="15" fillId="4" borderId="4" applyAlignment="1" applyProtection="1" pivotButton="0" quotePrefix="0" xfId="0">
      <alignment horizontal="center"/>
      <protection locked="0" hidden="0"/>
    </xf>
    <xf numFmtId="0" fontId="16" fillId="4" borderId="6" pivotButton="0" quotePrefix="0" xfId="0"/>
    <xf numFmtId="0" fontId="16" fillId="3" borderId="0" applyAlignment="1" applyProtection="1" pivotButton="0" quotePrefix="0" xfId="0">
      <alignment horizontal="center"/>
      <protection locked="0" hidden="0"/>
    </xf>
    <xf numFmtId="0" fontId="11" fillId="11" borderId="7" applyProtection="1" pivotButton="0" quotePrefix="0" xfId="0">
      <protection locked="0" hidden="0"/>
    </xf>
    <xf numFmtId="0" fontId="11" fillId="11" borderId="8" applyProtection="1" pivotButton="0" quotePrefix="0" xfId="0">
      <protection locked="0" hidden="0"/>
    </xf>
    <xf numFmtId="166" fontId="11" fillId="11" borderId="9" applyAlignment="1" applyProtection="1" pivotButton="0" quotePrefix="0" xfId="1">
      <alignment horizontal="right"/>
      <protection locked="0" hidden="0"/>
    </xf>
    <xf numFmtId="0" fontId="15" fillId="3" borderId="11" applyAlignment="1" applyProtection="1" pivotButton="0" quotePrefix="0" xfId="0">
      <alignment horizontal="right" vertical="top"/>
      <protection locked="0" hidden="0"/>
    </xf>
    <xf numFmtId="0" fontId="14" fillId="14" borderId="7" applyAlignment="1" applyProtection="1" pivotButton="0" quotePrefix="0" xfId="0">
      <alignment vertical="top"/>
      <protection locked="0" hidden="0"/>
    </xf>
    <xf numFmtId="166" fontId="12" fillId="14" borderId="9" applyAlignment="1" applyProtection="1" pivotButton="0" quotePrefix="0" xfId="1">
      <alignment horizontal="right"/>
      <protection locked="0" hidden="0"/>
    </xf>
    <xf numFmtId="166" fontId="16" fillId="5" borderId="4" applyAlignment="1" applyProtection="1" pivotButton="0" quotePrefix="0" xfId="1">
      <alignment horizontal="right"/>
      <protection locked="0" hidden="0"/>
    </xf>
    <xf numFmtId="0" fontId="15" fillId="14" borderId="7" applyAlignment="1" applyProtection="1" pivotButton="0" quotePrefix="0" xfId="0">
      <alignment vertical="top"/>
      <protection locked="0" hidden="0"/>
    </xf>
    <xf numFmtId="0" fontId="15" fillId="14" borderId="8" applyAlignment="1" applyProtection="1" pivotButton="0" quotePrefix="0" xfId="0">
      <alignment vertical="top"/>
      <protection locked="0" hidden="0"/>
    </xf>
    <xf numFmtId="166" fontId="16" fillId="14" borderId="9" applyAlignment="1" applyProtection="1" pivotButton="0" quotePrefix="0" xfId="1">
      <alignment horizontal="right"/>
      <protection locked="0" hidden="0"/>
    </xf>
    <xf numFmtId="166" fontId="16" fillId="5" borderId="5" applyAlignment="1" applyProtection="1" pivotButton="0" quotePrefix="0" xfId="1">
      <alignment horizontal="right"/>
      <protection locked="0" hidden="0"/>
    </xf>
    <xf numFmtId="0" fontId="15" fillId="3" borderId="23" applyAlignment="1" applyProtection="1" pivotButton="0" quotePrefix="0" xfId="0">
      <alignment horizontal="right" vertical="top"/>
      <protection locked="0" hidden="0"/>
    </xf>
    <xf numFmtId="166" fontId="16" fillId="5" borderId="6" applyAlignment="1" applyProtection="1" pivotButton="0" quotePrefix="0" xfId="1">
      <alignment horizontal="right"/>
      <protection locked="0" hidden="0"/>
    </xf>
    <xf numFmtId="0" fontId="10" fillId="3" borderId="0" applyProtection="1" pivotButton="0" quotePrefix="0" xfId="0">
      <protection locked="0" hidden="0"/>
    </xf>
    <xf numFmtId="0" fontId="15" fillId="2" borderId="7" applyAlignment="1" applyProtection="1" pivotButton="0" quotePrefix="0" xfId="0">
      <alignment vertical="top"/>
      <protection locked="0" hidden="0"/>
    </xf>
    <xf numFmtId="0" fontId="15" fillId="2" borderId="8" applyAlignment="1" applyProtection="1" pivotButton="0" quotePrefix="0" xfId="0">
      <alignment vertical="top"/>
      <protection locked="0" hidden="0"/>
    </xf>
    <xf numFmtId="166" fontId="16" fillId="2" borderId="9" applyAlignment="1" applyProtection="1" pivotButton="0" quotePrefix="0" xfId="1">
      <alignment horizontal="right"/>
      <protection locked="0" hidden="0"/>
    </xf>
    <xf numFmtId="0" fontId="14" fillId="3" borderId="11" applyAlignment="1" applyProtection="1" pivotButton="0" quotePrefix="0" xfId="0">
      <alignment horizontal="right" vertical="top"/>
      <protection locked="0" hidden="0"/>
    </xf>
    <xf numFmtId="165" fontId="12" fillId="14" borderId="9" applyAlignment="1" applyProtection="1" pivotButton="0" quotePrefix="0" xfId="1">
      <alignment horizontal="right"/>
      <protection locked="0" hidden="0"/>
    </xf>
    <xf numFmtId="165" fontId="16" fillId="14" borderId="9" applyAlignment="1" applyProtection="1" pivotButton="0" quotePrefix="0" xfId="1">
      <alignment horizontal="right"/>
      <protection locked="0" hidden="0"/>
    </xf>
    <xf numFmtId="0" fontId="14" fillId="3" borderId="23" applyAlignment="1" applyProtection="1" pivotButton="0" quotePrefix="0" xfId="0">
      <alignment horizontal="right" vertical="top"/>
      <protection locked="0" hidden="0"/>
    </xf>
    <xf numFmtId="0" fontId="21" fillId="3" borderId="0" applyAlignment="1" applyProtection="1" pivotButton="0" quotePrefix="0" xfId="0">
      <alignment horizontal="right"/>
      <protection locked="0" hidden="0"/>
    </xf>
    <xf numFmtId="165" fontId="21" fillId="3" borderId="0" applyProtection="1" pivotButton="0" quotePrefix="0" xfId="1">
      <protection locked="0" hidden="0"/>
    </xf>
    <xf numFmtId="0" fontId="11" fillId="9" borderId="7" applyAlignment="1" applyProtection="1" pivotButton="0" quotePrefix="0" xfId="0">
      <alignment horizontal="right" vertical="center"/>
      <protection locked="0" hidden="0"/>
    </xf>
    <xf numFmtId="0" fontId="11" fillId="9" borderId="8" applyAlignment="1" applyProtection="1" pivotButton="0" quotePrefix="0" xfId="0">
      <alignment vertical="center"/>
      <protection locked="0" hidden="0"/>
    </xf>
    <xf numFmtId="2" fontId="11" fillId="9" borderId="7" applyAlignment="1" applyProtection="1" pivotButton="0" quotePrefix="0" xfId="0">
      <alignment horizontal="right" vertical="center"/>
      <protection locked="0" hidden="0"/>
    </xf>
    <xf numFmtId="166" fontId="11" fillId="9" borderId="9" applyAlignment="1" applyProtection="1" pivotButton="0" quotePrefix="0" xfId="1">
      <alignment horizontal="right" vertical="center"/>
      <protection locked="0" hidden="0"/>
    </xf>
    <xf numFmtId="0" fontId="14" fillId="3" borderId="0" applyAlignment="1" applyProtection="1" pivotButton="0" quotePrefix="0" xfId="0">
      <alignment horizontal="right" vertical="center"/>
      <protection locked="0" hidden="0"/>
    </xf>
    <xf numFmtId="0" fontId="14" fillId="3" borderId="0" applyAlignment="1" applyProtection="1" pivotButton="0" quotePrefix="0" xfId="0">
      <alignment vertical="center"/>
      <protection locked="0" hidden="0"/>
    </xf>
    <xf numFmtId="166" fontId="14" fillId="3" borderId="0" applyAlignment="1" applyProtection="1" pivotButton="0" quotePrefix="0" xfId="1">
      <alignment horizontal="right" vertical="center"/>
      <protection locked="0" hidden="0"/>
    </xf>
    <xf numFmtId="0" fontId="14" fillId="7" borderId="7" applyAlignment="1" applyProtection="1" pivotButton="0" quotePrefix="0" xfId="0">
      <alignment horizontal="left" vertical="center"/>
      <protection locked="0" hidden="0"/>
    </xf>
    <xf numFmtId="0" fontId="14" fillId="7" borderId="8" applyAlignment="1" applyProtection="1" pivotButton="0" quotePrefix="0" xfId="0">
      <alignment vertical="center"/>
      <protection locked="0" hidden="0"/>
    </xf>
    <xf numFmtId="2" fontId="14" fillId="7" borderId="8" applyAlignment="1" applyProtection="1" pivotButton="0" quotePrefix="0" xfId="0">
      <alignment horizontal="right" vertical="center"/>
      <protection locked="0" hidden="0"/>
    </xf>
    <xf numFmtId="166" fontId="14" fillId="7" borderId="9" applyAlignment="1" applyProtection="1" pivotButton="0" quotePrefix="0" xfId="1">
      <alignment horizontal="right" vertical="center"/>
      <protection locked="0" hidden="0"/>
    </xf>
    <xf numFmtId="0" fontId="15" fillId="3" borderId="0" applyProtection="1" pivotButton="0" quotePrefix="0" xfId="0">
      <protection locked="0" hidden="0"/>
    </xf>
    <xf numFmtId="0" fontId="13" fillId="3" borderId="20" applyProtection="1" pivotButton="0" quotePrefix="0" xfId="0">
      <protection locked="0" hidden="0"/>
    </xf>
    <xf numFmtId="0" fontId="22" fillId="3" borderId="8" applyProtection="1" pivotButton="0" quotePrefix="0" xfId="0">
      <protection locked="0" hidden="0"/>
    </xf>
    <xf numFmtId="0" fontId="22" fillId="3" borderId="12" applyProtection="1" pivotButton="0" quotePrefix="0" xfId="0">
      <protection locked="0" hidden="0"/>
    </xf>
    <xf numFmtId="0" fontId="16" fillId="3" borderId="12" applyProtection="1" pivotButton="0" quotePrefix="0" xfId="0">
      <protection locked="0" hidden="0"/>
    </xf>
    <xf numFmtId="0" fontId="16" fillId="3" borderId="9" applyProtection="1" pivotButton="0" quotePrefix="0" xfId="0">
      <protection locked="0" hidden="0"/>
    </xf>
    <xf numFmtId="0" fontId="16" fillId="3" borderId="12" applyAlignment="1" applyProtection="1" pivotButton="0" quotePrefix="0" xfId="0">
      <alignment horizontal="center"/>
      <protection locked="0" hidden="0"/>
    </xf>
    <xf numFmtId="0" fontId="16" fillId="3" borderId="14" applyProtection="1" pivotButton="0" quotePrefix="0" xfId="0">
      <protection locked="0" hidden="0"/>
    </xf>
    <xf numFmtId="0" fontId="16" fillId="10" borderId="17" applyAlignment="1" applyProtection="1" pivotButton="0" quotePrefix="0" xfId="0">
      <alignment wrapText="1"/>
      <protection locked="0" hidden="0"/>
    </xf>
    <xf numFmtId="2" fontId="16" fillId="10" borderId="9" applyProtection="1" pivotButton="0" quotePrefix="0" xfId="0">
      <protection locked="0" hidden="0"/>
    </xf>
    <xf numFmtId="0" fontId="20" fillId="3" borderId="12" applyAlignment="1" applyProtection="1" pivotButton="0" quotePrefix="0" xfId="0">
      <alignment horizontal="center"/>
      <protection locked="0" hidden="0"/>
    </xf>
    <xf numFmtId="0" fontId="16" fillId="7" borderId="28" applyProtection="1" pivotButton="0" quotePrefix="0" xfId="0">
      <protection locked="0" hidden="0"/>
    </xf>
    <xf numFmtId="0" fontId="16" fillId="7" borderId="12" applyProtection="1" pivotButton="0" quotePrefix="0" xfId="0">
      <protection locked="0" hidden="0"/>
    </xf>
    <xf numFmtId="0" fontId="16" fillId="7" borderId="29" applyProtection="1" pivotButton="0" quotePrefix="0" xfId="0">
      <protection locked="0" hidden="0"/>
    </xf>
    <xf numFmtId="0" fontId="16" fillId="3" borderId="8" applyProtection="1" pivotButton="0" quotePrefix="0" xfId="0">
      <protection locked="0" hidden="0"/>
    </xf>
    <xf numFmtId="0" fontId="16" fillId="3" borderId="22" applyProtection="1" pivotButton="0" quotePrefix="0" xfId="0">
      <protection locked="0" hidden="0"/>
    </xf>
    <xf numFmtId="0" fontId="16" fillId="10" borderId="15" applyProtection="1" pivotButton="0" quotePrefix="0" xfId="0">
      <protection locked="0" hidden="0"/>
    </xf>
    <xf numFmtId="166" fontId="16" fillId="10" borderId="9" applyProtection="1" pivotButton="0" quotePrefix="0" xfId="0">
      <protection locked="0" hidden="0"/>
    </xf>
    <xf numFmtId="167" fontId="15" fillId="3" borderId="0" applyAlignment="1" applyProtection="1" pivotButton="0" quotePrefix="0" xfId="2">
      <alignment horizontal="right"/>
      <protection locked="0" hidden="0"/>
    </xf>
    <xf numFmtId="0" fontId="16" fillId="3" borderId="2" applyProtection="1" pivotButton="0" quotePrefix="0" xfId="0">
      <protection locked="0" hidden="0"/>
    </xf>
    <xf numFmtId="0" fontId="16" fillId="10" borderId="2" applyProtection="1" pivotButton="0" quotePrefix="0" xfId="0">
      <protection locked="0" hidden="0"/>
    </xf>
    <xf numFmtId="0" fontId="16" fillId="10" borderId="13" applyProtection="1" pivotButton="0" quotePrefix="0" xfId="0">
      <protection locked="0" hidden="0"/>
    </xf>
    <xf numFmtId="166" fontId="21" fillId="3" borderId="12" applyProtection="1" pivotButton="0" quotePrefix="0" xfId="1">
      <protection locked="0" hidden="0"/>
    </xf>
    <xf numFmtId="166" fontId="21" fillId="0" borderId="12" applyProtection="1" pivotButton="0" quotePrefix="0" xfId="1">
      <protection locked="0" hidden="0"/>
    </xf>
    <xf numFmtId="166" fontId="21" fillId="3" borderId="0" applyAlignment="1" applyProtection="1" pivotButton="0" quotePrefix="0" xfId="1">
      <alignment horizontal="right"/>
      <protection locked="0" hidden="0"/>
    </xf>
    <xf numFmtId="0" fontId="21" fillId="3" borderId="0" applyProtection="1" pivotButton="0" quotePrefix="0" xfId="0">
      <protection locked="0" hidden="0"/>
    </xf>
    <xf numFmtId="0" fontId="16" fillId="7" borderId="26" applyProtection="1" pivotButton="0" quotePrefix="1" xfId="0">
      <protection locked="0" hidden="0"/>
    </xf>
    <xf numFmtId="0" fontId="16" fillId="7" borderId="0" applyProtection="1" pivotButton="0" quotePrefix="0" xfId="0">
      <protection locked="0" hidden="0"/>
    </xf>
    <xf numFmtId="9" fontId="16" fillId="7" borderId="27" applyProtection="1" pivotButton="0" quotePrefix="0" xfId="3">
      <protection locked="0" hidden="0"/>
    </xf>
    <xf numFmtId="166" fontId="21" fillId="0" borderId="0" applyProtection="1" pivotButton="0" quotePrefix="0" xfId="1">
      <protection locked="0" hidden="0"/>
    </xf>
    <xf numFmtId="0" fontId="15" fillId="4" borderId="11" applyAlignment="1" applyProtection="1" pivotButton="0" quotePrefix="0" xfId="0">
      <alignment horizontal="center"/>
      <protection locked="0" hidden="0"/>
    </xf>
    <xf numFmtId="0" fontId="15" fillId="6" borderId="12" applyAlignment="1" applyProtection="1" pivotButton="0" quotePrefix="0" xfId="0">
      <alignment horizontal="center"/>
      <protection locked="0" hidden="0"/>
    </xf>
    <xf numFmtId="0" fontId="15" fillId="6" borderId="14" applyAlignment="1" applyProtection="1" pivotButton="0" quotePrefix="0" xfId="0">
      <alignment horizontal="center"/>
      <protection locked="0" hidden="0"/>
    </xf>
    <xf numFmtId="0" fontId="23" fillId="3" borderId="0" applyProtection="1" pivotButton="0" quotePrefix="0" xfId="0">
      <protection locked="0" hidden="0"/>
    </xf>
    <xf numFmtId="0" fontId="16" fillId="4" borderId="10" applyProtection="1" pivotButton="0" quotePrefix="0" xfId="0">
      <protection locked="0" hidden="0"/>
    </xf>
    <xf numFmtId="0" fontId="16" fillId="6" borderId="10" applyProtection="1" pivotButton="0" quotePrefix="0" xfId="0">
      <protection locked="0" hidden="0"/>
    </xf>
    <xf numFmtId="0" fontId="16" fillId="6" borderId="2" applyProtection="1" pivotButton="0" quotePrefix="0" xfId="0">
      <protection locked="0" hidden="0"/>
    </xf>
    <xf numFmtId="0" fontId="16" fillId="6" borderId="13" applyProtection="1" pivotButton="0" quotePrefix="0" xfId="0">
      <protection locked="0" hidden="0"/>
    </xf>
    <xf numFmtId="0" fontId="16" fillId="7" borderId="30" applyProtection="1" pivotButton="0" quotePrefix="1" xfId="0">
      <protection locked="0" hidden="0"/>
    </xf>
    <xf numFmtId="0" fontId="16" fillId="7" borderId="2" applyProtection="1" pivotButton="0" quotePrefix="0" xfId="0">
      <protection locked="0" hidden="0"/>
    </xf>
    <xf numFmtId="9" fontId="16" fillId="7" borderId="31" applyProtection="1" pivotButton="0" quotePrefix="0" xfId="3">
      <protection locked="0" hidden="0"/>
    </xf>
    <xf numFmtId="0" fontId="11" fillId="9" borderId="7" applyAlignment="1" applyProtection="1" pivotButton="0" quotePrefix="0" xfId="0">
      <alignment horizontal="right"/>
      <protection locked="0" hidden="0"/>
    </xf>
    <xf numFmtId="0" fontId="11" fillId="9" borderId="8" applyProtection="1" pivotButton="0" quotePrefix="0" xfId="0">
      <protection locked="0" hidden="0"/>
    </xf>
    <xf numFmtId="0" fontId="11" fillId="9" borderId="9" applyProtection="1" pivotButton="0" quotePrefix="0" xfId="0">
      <protection locked="0" hidden="0"/>
    </xf>
    <xf numFmtId="0" fontId="15" fillId="3" borderId="11" applyAlignment="1" applyProtection="1" pivotButton="0" quotePrefix="0" xfId="0">
      <alignment vertical="top"/>
      <protection locked="0" hidden="0"/>
    </xf>
    <xf numFmtId="0" fontId="14" fillId="2" borderId="8" applyAlignment="1" applyProtection="1" pivotButton="0" quotePrefix="0" xfId="0">
      <alignment vertical="top"/>
      <protection locked="0" hidden="0"/>
    </xf>
    <xf numFmtId="0" fontId="14" fillId="2" borderId="9" applyAlignment="1" applyProtection="1" pivotButton="0" quotePrefix="0" xfId="0">
      <alignment vertical="top"/>
      <protection locked="0" hidden="0"/>
    </xf>
    <xf numFmtId="0" fontId="15" fillId="3" borderId="5" applyAlignment="1" applyProtection="1" pivotButton="0" quotePrefix="0" xfId="0">
      <alignment vertical="top"/>
      <protection locked="0" hidden="0"/>
    </xf>
    <xf numFmtId="0" fontId="16" fillId="3" borderId="10" applyAlignment="1" applyProtection="1" pivotButton="0" quotePrefix="0" xfId="0">
      <alignment horizontal="center" vertical="top"/>
      <protection locked="0" hidden="0"/>
    </xf>
    <xf numFmtId="0" fontId="16" fillId="3" borderId="8" applyAlignment="1" applyProtection="1" pivotButton="0" quotePrefix="0" xfId="0">
      <alignment wrapText="1"/>
      <protection locked="0" hidden="0"/>
    </xf>
    <xf numFmtId="0" fontId="16" fillId="3" borderId="2" applyAlignment="1" applyProtection="1" pivotButton="0" quotePrefix="0" xfId="0">
      <alignment horizontal="center"/>
      <protection locked="0" hidden="0"/>
    </xf>
    <xf numFmtId="1" fontId="16" fillId="3" borderId="2" applyAlignment="1" pivotButton="0" quotePrefix="0" xfId="0">
      <alignment horizontal="center"/>
    </xf>
    <xf numFmtId="166" fontId="16" fillId="3" borderId="2" applyAlignment="1" pivotButton="0" quotePrefix="0" xfId="1">
      <alignment horizontal="right"/>
    </xf>
    <xf numFmtId="0" fontId="16" fillId="3" borderId="9" applyAlignment="1" applyProtection="1" pivotButton="0" quotePrefix="0" xfId="0">
      <alignment horizontal="right" vertical="top"/>
      <protection locked="0" hidden="0"/>
    </xf>
    <xf numFmtId="0" fontId="16" fillId="3" borderId="2" applyAlignment="1" applyProtection="1" pivotButton="0" quotePrefix="0" xfId="0">
      <alignment horizontal="right"/>
      <protection locked="0" hidden="0"/>
    </xf>
    <xf numFmtId="168" fontId="16" fillId="6" borderId="2" applyAlignment="1" applyProtection="1" pivotButton="0" quotePrefix="0" xfId="0">
      <alignment horizontal="center"/>
      <protection locked="0" hidden="0"/>
    </xf>
    <xf numFmtId="166" fontId="16" fillId="6" borderId="2" applyAlignment="1" applyProtection="1" pivotButton="0" quotePrefix="0" xfId="1">
      <alignment horizontal="right"/>
      <protection locked="0" hidden="0"/>
    </xf>
    <xf numFmtId="166" fontId="16" fillId="6" borderId="9" applyAlignment="1" applyProtection="1" pivotButton="0" quotePrefix="0" xfId="1">
      <alignment horizontal="right"/>
      <protection locked="0" hidden="0"/>
    </xf>
    <xf numFmtId="166" fontId="16" fillId="6" borderId="8" applyAlignment="1" applyProtection="1" pivotButton="0" quotePrefix="0" xfId="1">
      <alignment horizontal="right"/>
      <protection locked="0" hidden="0"/>
    </xf>
    <xf numFmtId="0" fontId="16" fillId="3" borderId="9" applyAlignment="1" applyProtection="1" pivotButton="0" quotePrefix="0" xfId="0">
      <alignment vertical="top"/>
      <protection locked="0" hidden="0"/>
    </xf>
    <xf numFmtId="0" fontId="15" fillId="3" borderId="6" applyAlignment="1" applyProtection="1" pivotButton="0" quotePrefix="0" xfId="0">
      <alignment vertical="top"/>
      <protection locked="0" hidden="0"/>
    </xf>
    <xf numFmtId="166" fontId="15" fillId="3" borderId="0" applyAlignment="1" pivotButton="0" quotePrefix="0" xfId="1">
      <alignment horizontal="right"/>
    </xf>
    <xf numFmtId="168" fontId="16" fillId="3" borderId="0" applyProtection="1" pivotButton="0" quotePrefix="0" xfId="0">
      <protection locked="0" hidden="0"/>
    </xf>
    <xf numFmtId="166" fontId="15" fillId="3" borderId="0" applyAlignment="1" applyProtection="1" pivotButton="0" quotePrefix="0" xfId="1">
      <alignment horizontal="right"/>
      <protection locked="0" hidden="0"/>
    </xf>
    <xf numFmtId="0" fontId="15" fillId="2" borderId="9" applyAlignment="1" applyProtection="1" pivotButton="0" quotePrefix="0" xfId="0">
      <alignment vertical="top"/>
      <protection locked="0" hidden="0"/>
    </xf>
    <xf numFmtId="0" fontId="15" fillId="2" borderId="8" applyAlignment="1" applyProtection="1" pivotButton="0" quotePrefix="0" xfId="0">
      <alignment horizontal="center" vertical="top"/>
      <protection locked="0" hidden="0"/>
    </xf>
    <xf numFmtId="168" fontId="15" fillId="2" borderId="8" applyAlignment="1" applyProtection="1" pivotButton="0" quotePrefix="0" xfId="0">
      <alignment vertical="top"/>
      <protection locked="0" hidden="0"/>
    </xf>
    <xf numFmtId="168" fontId="16" fillId="3" borderId="2" applyAlignment="1" pivotButton="0" quotePrefix="0" xfId="0">
      <alignment horizontal="center"/>
    </xf>
    <xf numFmtId="0" fontId="15" fillId="3" borderId="24" applyAlignment="1" applyProtection="1" pivotButton="0" quotePrefix="0" xfId="0">
      <alignment vertical="top"/>
      <protection locked="0" hidden="0"/>
    </xf>
    <xf numFmtId="0" fontId="15" fillId="8" borderId="2" applyAlignment="1" applyProtection="1" pivotButton="0" quotePrefix="0" xfId="0">
      <alignment vertical="top"/>
      <protection locked="0" hidden="0"/>
    </xf>
    <xf numFmtId="0" fontId="16" fillId="3" borderId="7" applyAlignment="1" applyProtection="1" pivotButton="0" quotePrefix="0" xfId="0">
      <alignment horizontal="center" vertical="top"/>
      <protection locked="0" hidden="0"/>
    </xf>
    <xf numFmtId="0" fontId="16" fillId="3" borderId="2" applyAlignment="1" applyProtection="1" pivotButton="0" quotePrefix="0" xfId="0">
      <alignment wrapText="1"/>
      <protection locked="0" hidden="0"/>
    </xf>
    <xf numFmtId="166" fontId="15" fillId="3" borderId="2" applyAlignment="1" pivotButton="0" quotePrefix="0" xfId="1">
      <alignment horizontal="right"/>
    </xf>
    <xf numFmtId="166" fontId="15" fillId="6" borderId="2" applyAlignment="1" applyProtection="1" pivotButton="0" quotePrefix="0" xfId="1">
      <alignment horizontal="right"/>
      <protection locked="0" hidden="0"/>
    </xf>
    <xf numFmtId="166" fontId="15" fillId="6" borderId="9" applyAlignment="1" applyProtection="1" pivotButton="0" quotePrefix="0" xfId="1">
      <alignment horizontal="right"/>
      <protection locked="0" hidden="0"/>
    </xf>
    <xf numFmtId="166" fontId="16" fillId="3" borderId="2" applyAlignment="1" pivotButton="0" quotePrefix="0" xfId="1">
      <alignment horizontal="right" wrapText="1"/>
    </xf>
    <xf numFmtId="0" fontId="16" fillId="3" borderId="9" applyAlignment="1" applyProtection="1" pivotButton="0" quotePrefix="0" xfId="0">
      <alignment horizontal="right" vertical="top" wrapText="1"/>
      <protection locked="0" hidden="0"/>
    </xf>
    <xf numFmtId="0" fontId="16" fillId="3" borderId="2" applyAlignment="1" applyProtection="1" pivotButton="0" quotePrefix="0" xfId="0">
      <alignment horizontal="right" wrapText="1"/>
      <protection locked="0" hidden="0"/>
    </xf>
    <xf numFmtId="166" fontId="16" fillId="6" borderId="8" applyAlignment="1" applyProtection="1" pivotButton="0" quotePrefix="0" xfId="1">
      <alignment horizontal="right" wrapText="1"/>
      <protection locked="0" hidden="0"/>
    </xf>
    <xf numFmtId="0" fontId="16" fillId="3" borderId="9" applyAlignment="1" applyProtection="1" pivotButton="0" quotePrefix="0" xfId="0">
      <alignment vertical="top" wrapText="1"/>
      <protection locked="0" hidden="0"/>
    </xf>
    <xf numFmtId="0" fontId="16" fillId="3" borderId="2" applyAlignment="1" applyProtection="1" pivotButton="0" quotePrefix="0" xfId="0">
      <alignment horizontal="center" vertical="top"/>
      <protection locked="0" hidden="0"/>
    </xf>
    <xf numFmtId="166" fontId="15" fillId="3" borderId="8" applyAlignment="1" pivotButton="0" quotePrefix="0" xfId="1">
      <alignment horizontal="right"/>
    </xf>
    <xf numFmtId="166" fontId="16" fillId="6" borderId="2" applyAlignment="1" applyProtection="1" pivotButton="0" quotePrefix="0" xfId="1">
      <alignment horizontal="right" wrapText="1"/>
      <protection locked="0" hidden="0"/>
    </xf>
    <xf numFmtId="168" fontId="11" fillId="9" borderId="8" applyProtection="1" pivotButton="0" quotePrefix="0" xfId="0">
      <protection locked="0" hidden="0"/>
    </xf>
    <xf numFmtId="0" fontId="16" fillId="3" borderId="8" applyAlignment="1" applyProtection="1" pivotButton="0" quotePrefix="0" xfId="0">
      <alignment horizontal="center" vertical="top"/>
      <protection locked="0" hidden="0"/>
    </xf>
    <xf numFmtId="1" fontId="16" fillId="6" borderId="2" applyAlignment="1" applyProtection="1" pivotButton="0" quotePrefix="0" xfId="0">
      <alignment horizontal="center"/>
      <protection locked="0" hidden="0"/>
    </xf>
    <xf numFmtId="0" fontId="16" fillId="3" borderId="8" applyAlignment="1" applyProtection="1" pivotButton="0" quotePrefix="0" xfId="0">
      <alignment horizontal="right"/>
      <protection locked="0" hidden="0"/>
    </xf>
    <xf numFmtId="1" fontId="16" fillId="3" borderId="12" applyAlignment="1" pivotButton="0" quotePrefix="0" xfId="0">
      <alignment horizontal="center"/>
    </xf>
    <xf numFmtId="0" fontId="15" fillId="3" borderId="0" applyAlignment="1" applyProtection="1" pivotButton="0" quotePrefix="0" xfId="0">
      <alignment horizontal="center" vertical="top"/>
      <protection locked="0" hidden="0"/>
    </xf>
    <xf numFmtId="0" fontId="16" fillId="3" borderId="0" applyAlignment="1" applyProtection="1" pivotButton="0" quotePrefix="0" xfId="0">
      <alignment horizontal="center" vertical="top"/>
      <protection locked="0" hidden="0"/>
    </xf>
    <xf numFmtId="0" fontId="16" fillId="3" borderId="0" applyAlignment="1" applyProtection="1" pivotButton="0" quotePrefix="0" xfId="0">
      <alignment horizontal="left" vertical="top" wrapText="1"/>
      <protection locked="0" hidden="0"/>
    </xf>
    <xf numFmtId="0" fontId="16" fillId="3" borderId="0" applyAlignment="1" applyProtection="1" pivotButton="0" quotePrefix="0" xfId="0">
      <alignment vertical="top"/>
      <protection locked="0" hidden="0"/>
    </xf>
    <xf numFmtId="1" fontId="16" fillId="3" borderId="0" applyAlignment="1" pivotButton="0" quotePrefix="0" xfId="0">
      <alignment vertical="top"/>
    </xf>
    <xf numFmtId="0" fontId="16" fillId="3" borderId="0" applyAlignment="1" applyProtection="1" pivotButton="0" quotePrefix="0" xfId="0">
      <alignment horizontal="right" vertical="top"/>
      <protection locked="0" hidden="0"/>
    </xf>
    <xf numFmtId="168" fontId="16" fillId="3" borderId="0" applyAlignment="1" applyProtection="1" pivotButton="0" quotePrefix="0" xfId="0">
      <alignment vertical="top"/>
      <protection locked="0" hidden="0"/>
    </xf>
    <xf numFmtId="165" fontId="16" fillId="3" borderId="0" applyAlignment="1" applyProtection="1" pivotButton="0" quotePrefix="0" xfId="1">
      <alignment vertical="top"/>
      <protection locked="0" hidden="0"/>
    </xf>
    <xf numFmtId="0" fontId="12" fillId="3" borderId="2" applyAlignment="1" applyProtection="1" pivotButton="0" quotePrefix="0" xfId="0">
      <alignment wrapText="1"/>
      <protection locked="0" hidden="0"/>
    </xf>
    <xf numFmtId="166" fontId="16" fillId="3" borderId="0" applyProtection="1" pivotButton="0" quotePrefix="0" xfId="0">
      <protection locked="0" hidden="0"/>
    </xf>
    <xf numFmtId="168" fontId="11" fillId="9" borderId="7" applyProtection="1" pivotButton="0" quotePrefix="0" xfId="0">
      <protection locked="0" hidden="0"/>
    </xf>
    <xf numFmtId="168" fontId="15" fillId="2" borderId="7" applyAlignment="1" applyProtection="1" pivotButton="0" quotePrefix="0" xfId="0">
      <alignment vertical="top"/>
      <protection locked="0" hidden="0"/>
    </xf>
    <xf numFmtId="1" fontId="16" fillId="6" borderId="23" applyAlignment="1" applyProtection="1" pivotButton="0" quotePrefix="0" xfId="0">
      <alignment horizontal="center"/>
      <protection locked="0" hidden="0"/>
    </xf>
    <xf numFmtId="166" fontId="16" fillId="3" borderId="12" applyAlignment="1" applyProtection="1" pivotButton="0" quotePrefix="0" xfId="1">
      <alignment horizontal="right"/>
      <protection locked="0" hidden="0"/>
    </xf>
    <xf numFmtId="166" fontId="16" fillId="3" borderId="0" applyAlignment="1" applyProtection="1" pivotButton="0" quotePrefix="0" xfId="1">
      <alignment horizontal="right"/>
      <protection locked="0" hidden="0"/>
    </xf>
    <xf numFmtId="1" fontId="16" fillId="3" borderId="0" pivotButton="0" quotePrefix="0" xfId="0"/>
    <xf numFmtId="0" fontId="15" fillId="2" borderId="37" applyAlignment="1" applyProtection="1" pivotButton="0" quotePrefix="0" xfId="0">
      <alignment vertical="top"/>
      <protection locked="0" hidden="0"/>
    </xf>
    <xf numFmtId="0" fontId="15" fillId="2" borderId="38" applyAlignment="1" applyProtection="1" pivotButton="0" quotePrefix="0" xfId="0">
      <alignment vertical="top"/>
      <protection locked="0" hidden="0"/>
    </xf>
    <xf numFmtId="167" fontId="16" fillId="6" borderId="39" applyProtection="1" pivotButton="0" quotePrefix="0" xfId="2">
      <protection locked="0" hidden="0"/>
    </xf>
    <xf numFmtId="0" fontId="15" fillId="3" borderId="0" applyAlignment="1" applyProtection="1" pivotButton="0" quotePrefix="0" xfId="0">
      <alignment vertical="top"/>
      <protection locked="0" hidden="0"/>
    </xf>
    <xf numFmtId="0" fontId="16" fillId="3" borderId="11" applyAlignment="1" applyProtection="1" pivotButton="0" quotePrefix="0" xfId="0">
      <alignment horizontal="center"/>
      <protection locked="0" hidden="0"/>
    </xf>
    <xf numFmtId="0" fontId="12" fillId="3" borderId="12" applyAlignment="1" pivotButton="0" quotePrefix="0" xfId="4">
      <alignment horizontal="right"/>
    </xf>
    <xf numFmtId="4" fontId="12" fillId="6" borderId="12" pivotButton="0" quotePrefix="0" xfId="4"/>
    <xf numFmtId="0" fontId="12" fillId="6" borderId="14" pivotButton="0" quotePrefix="0" xfId="4"/>
    <xf numFmtId="0" fontId="16" fillId="3" borderId="32" applyProtection="1" pivotButton="0" quotePrefix="0" xfId="0">
      <protection locked="0" hidden="0"/>
    </xf>
    <xf numFmtId="0" fontId="16" fillId="3" borderId="33" applyProtection="1" pivotButton="0" quotePrefix="0" xfId="0">
      <protection locked="0" hidden="0"/>
    </xf>
    <xf numFmtId="0" fontId="16" fillId="3" borderId="24" applyAlignment="1" applyProtection="1" pivotButton="0" quotePrefix="0" xfId="0">
      <alignment horizontal="center"/>
      <protection locked="0" hidden="0"/>
    </xf>
    <xf numFmtId="0" fontId="12" fillId="3" borderId="0" applyAlignment="1" pivotButton="0" quotePrefix="0" xfId="4">
      <alignment horizontal="right"/>
    </xf>
    <xf numFmtId="0" fontId="12" fillId="6" borderId="0" pivotButton="0" quotePrefix="0" xfId="4"/>
    <xf numFmtId="0" fontId="12" fillId="6" borderId="22" pivotButton="0" quotePrefix="0" xfId="4"/>
    <xf numFmtId="0" fontId="15" fillId="2" borderId="34" applyAlignment="1" applyProtection="1" pivotButton="0" quotePrefix="0" xfId="0">
      <alignment vertical="top"/>
      <protection locked="0" hidden="0"/>
    </xf>
    <xf numFmtId="0" fontId="15" fillId="2" borderId="35" applyAlignment="1" applyProtection="1" pivotButton="0" quotePrefix="0" xfId="0">
      <alignment vertical="top"/>
      <protection locked="0" hidden="0"/>
    </xf>
    <xf numFmtId="167" fontId="16" fillId="6" borderId="36" applyProtection="1" pivotButton="0" quotePrefix="0" xfId="2">
      <protection locked="0" hidden="0"/>
    </xf>
    <xf numFmtId="4" fontId="12" fillId="6" borderId="0" pivotButton="0" quotePrefix="0" xfId="4"/>
    <xf numFmtId="10" fontId="12" fillId="6" borderId="22" pivotButton="0" quotePrefix="0" xfId="4"/>
    <xf numFmtId="0" fontId="16" fillId="3" borderId="10" applyAlignment="1" applyProtection="1" pivotButton="0" quotePrefix="0" xfId="0">
      <alignment horizontal="center"/>
      <protection locked="0" hidden="0"/>
    </xf>
    <xf numFmtId="0" fontId="12" fillId="3" borderId="2" applyAlignment="1" pivotButton="0" quotePrefix="0" xfId="4">
      <alignment horizontal="right"/>
    </xf>
    <xf numFmtId="4" fontId="12" fillId="6" borderId="2" pivotButton="0" quotePrefix="0" xfId="4"/>
    <xf numFmtId="10" fontId="12" fillId="6" borderId="13" pivotButton="0" quotePrefix="0" xfId="4"/>
    <xf numFmtId="0" fontId="16" fillId="3" borderId="11" applyProtection="1" pivotButton="0" quotePrefix="0" xfId="0">
      <protection locked="0" hidden="0"/>
    </xf>
    <xf numFmtId="0" fontId="13" fillId="3" borderId="24" applyProtection="1" pivotButton="0" quotePrefix="0" xfId="0">
      <protection locked="0" hidden="0"/>
    </xf>
    <xf numFmtId="0" fontId="13" fillId="3" borderId="0" applyProtection="1" pivotButton="0" quotePrefix="0" xfId="0">
      <protection locked="0" hidden="0"/>
    </xf>
    <xf numFmtId="166" fontId="13" fillId="3" borderId="0" applyProtection="1" pivotButton="0" quotePrefix="0" xfId="1">
      <protection locked="0" hidden="0"/>
    </xf>
    <xf numFmtId="166" fontId="13" fillId="3" borderId="22" applyProtection="1" pivotButton="0" quotePrefix="0" xfId="1">
      <protection locked="0" hidden="0"/>
    </xf>
    <xf numFmtId="0" fontId="13" fillId="3" borderId="0" applyAlignment="1" applyProtection="1" pivotButton="0" quotePrefix="0" xfId="0">
      <alignment horizontal="center"/>
      <protection locked="0" hidden="0"/>
    </xf>
    <xf numFmtId="0" fontId="19" fillId="3" borderId="0" applyAlignment="1" applyProtection="1" pivotButton="0" quotePrefix="0" xfId="0">
      <alignment horizontal="left"/>
      <protection locked="0" hidden="0"/>
    </xf>
    <xf numFmtId="0" fontId="16" fillId="3" borderId="10" applyProtection="1" pivotButton="0" quotePrefix="0" xfId="0">
      <protection locked="0" hidden="0"/>
    </xf>
    <xf numFmtId="0" fontId="19" fillId="3" borderId="2" applyAlignment="1" applyProtection="1" pivotButton="0" quotePrefix="0" xfId="0">
      <alignment horizontal="left"/>
      <protection locked="0" hidden="0"/>
    </xf>
    <xf numFmtId="0" fontId="16" fillId="3" borderId="13" applyProtection="1" pivotButton="0" quotePrefix="0" xfId="0">
      <protection locked="0" hidden="0"/>
    </xf>
    <xf numFmtId="169" fontId="12" fillId="3" borderId="0" applyAlignment="1" pivotButton="0" quotePrefix="0" xfId="4">
      <alignment horizontal="right"/>
    </xf>
    <xf numFmtId="4" fontId="12" fillId="3" borderId="0" applyAlignment="1" pivotButton="0" quotePrefix="0" xfId="4">
      <alignment horizontal="right"/>
    </xf>
    <xf numFmtId="9" fontId="12" fillId="3" borderId="0" applyAlignment="1" pivotButton="0" quotePrefix="0" xfId="4">
      <alignment horizontal="right"/>
    </xf>
    <xf numFmtId="0" fontId="11" fillId="12" borderId="12" applyProtection="1" pivotButton="0" quotePrefix="0" xfId="0">
      <protection locked="0" hidden="0"/>
    </xf>
    <xf numFmtId="0" fontId="10" fillId="12" borderId="2" applyProtection="1" pivotButton="0" quotePrefix="0" xfId="0">
      <protection locked="0" hidden="0"/>
    </xf>
    <xf numFmtId="0" fontId="11" fillId="11" borderId="9" applyProtection="1" pivotButton="0" quotePrefix="0" xfId="0">
      <protection locked="0" hidden="0"/>
    </xf>
    <xf numFmtId="0" fontId="11" fillId="11" borderId="8" applyAlignment="1" applyProtection="1" pivotButton="0" quotePrefix="0" xfId="0">
      <alignment horizontal="center"/>
      <protection locked="0" hidden="0"/>
    </xf>
    <xf numFmtId="0" fontId="14" fillId="13" borderId="7" applyAlignment="1" applyProtection="1" pivotButton="0" quotePrefix="0" xfId="0">
      <alignment vertical="top"/>
      <protection locked="0" hidden="0"/>
    </xf>
    <xf numFmtId="0" fontId="14" fillId="13" borderId="8" applyAlignment="1" applyProtection="1" pivotButton="0" quotePrefix="0" xfId="0">
      <alignment vertical="top"/>
      <protection locked="0" hidden="0"/>
    </xf>
    <xf numFmtId="0" fontId="14" fillId="13" borderId="9" applyAlignment="1" applyProtection="1" pivotButton="0" quotePrefix="0" xfId="0">
      <alignment vertical="top"/>
      <protection locked="0" hidden="0"/>
    </xf>
    <xf numFmtId="0" fontId="14" fillId="13" borderId="8" applyAlignment="1" applyProtection="1" pivotButton="0" quotePrefix="0" xfId="0">
      <alignment horizontal="center" vertical="top"/>
      <protection locked="0" hidden="0"/>
    </xf>
    <xf numFmtId="0" fontId="15" fillId="14" borderId="2" applyAlignment="1" applyProtection="1" pivotButton="0" quotePrefix="0" xfId="0">
      <alignment vertical="top"/>
      <protection locked="0" hidden="0"/>
    </xf>
    <xf numFmtId="0" fontId="15" fillId="14" borderId="2" applyAlignment="1" pivotButton="0" quotePrefix="0" xfId="0">
      <alignment vertical="top"/>
    </xf>
    <xf numFmtId="0" fontId="15" fillId="14" borderId="9" applyAlignment="1" applyProtection="1" pivotButton="0" quotePrefix="0" xfId="0">
      <alignment vertical="top"/>
      <protection locked="0" hidden="0"/>
    </xf>
    <xf numFmtId="0" fontId="16" fillId="0" borderId="0" pivotButton="0" quotePrefix="0" xfId="0"/>
    <xf numFmtId="170" fontId="16" fillId="0" borderId="0" pivotButton="0" quotePrefix="0" xfId="0"/>
    <xf numFmtId="0" fontId="11" fillId="11" borderId="10" applyProtection="1" pivotButton="0" quotePrefix="0" xfId="0">
      <protection locked="0" hidden="0"/>
    </xf>
    <xf numFmtId="170" fontId="11" fillId="11" borderId="10" applyProtection="1" pivotButton="0" quotePrefix="0" xfId="0">
      <protection locked="0" hidden="0"/>
    </xf>
    <xf numFmtId="0" fontId="11" fillId="11" borderId="21" applyAlignment="1" applyProtection="1" pivotButton="0" quotePrefix="0" xfId="0">
      <alignment horizontal="center" vertical="top"/>
      <protection locked="0" hidden="0"/>
    </xf>
    <xf numFmtId="0" fontId="14" fillId="0" borderId="40" applyAlignment="1" pivotButton="0" quotePrefix="0" xfId="0">
      <alignment horizontal="center" vertical="top"/>
    </xf>
    <xf numFmtId="1" fontId="14" fillId="14" borderId="7" applyAlignment="1" applyProtection="1" pivotButton="0" quotePrefix="0" xfId="0">
      <alignment vertical="top"/>
      <protection locked="0" hidden="0"/>
    </xf>
    <xf numFmtId="171" fontId="15" fillId="14" borderId="7" applyAlignment="1" applyProtection="1" pivotButton="0" quotePrefix="0" xfId="0">
      <alignment vertical="top"/>
      <protection locked="0" hidden="0"/>
    </xf>
    <xf numFmtId="170" fontId="14" fillId="14" borderId="7" applyAlignment="1" applyProtection="1" pivotButton="0" quotePrefix="0" xfId="0">
      <alignment vertical="top"/>
      <protection locked="0" hidden="0"/>
    </xf>
    <xf numFmtId="170" fontId="15" fillId="14" borderId="7" applyAlignment="1" applyProtection="1" pivotButton="0" quotePrefix="0" xfId="0">
      <alignment vertical="top"/>
      <protection locked="0" hidden="0"/>
    </xf>
    <xf numFmtId="0" fontId="15" fillId="14" borderId="11" applyAlignment="1" applyProtection="1" pivotButton="0" quotePrefix="0" xfId="0">
      <alignment vertical="top"/>
      <protection locked="0" hidden="0"/>
    </xf>
    <xf numFmtId="0" fontId="14" fillId="14" borderId="11" applyAlignment="1" applyProtection="1" pivotButton="0" quotePrefix="0" xfId="0">
      <alignment vertical="top"/>
      <protection locked="0" hidden="0"/>
    </xf>
    <xf numFmtId="1" fontId="14" fillId="14" borderId="11" applyAlignment="1" applyProtection="1" pivotButton="0" quotePrefix="0" xfId="0">
      <alignment vertical="top"/>
      <protection locked="0" hidden="0"/>
    </xf>
    <xf numFmtId="0" fontId="15" fillId="14" borderId="41" applyAlignment="1" applyProtection="1" pivotButton="0" quotePrefix="0" xfId="0">
      <alignment vertical="top"/>
      <protection locked="0" hidden="0"/>
    </xf>
    <xf numFmtId="0" fontId="14" fillId="14" borderId="42" applyAlignment="1" applyProtection="1" pivotButton="0" quotePrefix="0" xfId="0">
      <alignment vertical="top"/>
      <protection locked="0" hidden="0"/>
    </xf>
    <xf numFmtId="0" fontId="14" fillId="14" borderId="50" applyAlignment="1" applyProtection="1" pivotButton="0" quotePrefix="0" xfId="0">
      <alignment vertical="top"/>
      <protection locked="0" hidden="0"/>
    </xf>
    <xf numFmtId="0" fontId="15" fillId="14" borderId="42" applyAlignment="1" applyProtection="1" pivotButton="0" quotePrefix="0" xfId="0">
      <alignment vertical="top"/>
      <protection locked="0" hidden="0"/>
    </xf>
    <xf numFmtId="1" fontId="14" fillId="14" borderId="42" applyAlignment="1" applyProtection="1" pivotButton="0" quotePrefix="0" xfId="0">
      <alignment vertical="top"/>
      <protection locked="0" hidden="0"/>
    </xf>
    <xf numFmtId="171" fontId="14" fillId="14" borderId="42" applyAlignment="1" applyProtection="1" pivotButton="0" quotePrefix="0" xfId="0">
      <alignment vertical="top"/>
      <protection locked="0" hidden="0"/>
    </xf>
    <xf numFmtId="170" fontId="15" fillId="14" borderId="42" applyAlignment="1" applyProtection="1" pivotButton="0" quotePrefix="0" xfId="0">
      <alignment vertical="top"/>
      <protection locked="0" hidden="0"/>
    </xf>
    <xf numFmtId="0" fontId="16" fillId="14" borderId="43" applyAlignment="1" applyProtection="1" pivotButton="0" quotePrefix="0" xfId="0">
      <alignment vertical="top"/>
      <protection locked="0" hidden="0"/>
    </xf>
    <xf numFmtId="0" fontId="15" fillId="14" borderId="44" applyAlignment="1" applyProtection="1" pivotButton="0" quotePrefix="0" xfId="0">
      <alignment vertical="top"/>
      <protection locked="0" hidden="0"/>
    </xf>
    <xf numFmtId="0" fontId="14" fillId="14" borderId="23" applyAlignment="1" applyProtection="1" pivotButton="0" quotePrefix="0" xfId="0">
      <alignment vertical="top"/>
      <protection locked="0" hidden="0"/>
    </xf>
    <xf numFmtId="171" fontId="14" fillId="14" borderId="7" applyAlignment="1" applyProtection="1" pivotButton="0" quotePrefix="0" xfId="0">
      <alignment vertical="top"/>
      <protection locked="0" hidden="0"/>
    </xf>
    <xf numFmtId="0" fontId="16" fillId="14" borderId="45" applyAlignment="1" applyProtection="1" pivotButton="0" quotePrefix="0" xfId="0">
      <alignment vertical="top"/>
      <protection locked="0" hidden="0"/>
    </xf>
    <xf numFmtId="0" fontId="15" fillId="14" borderId="45" applyAlignment="1" applyProtection="1" pivotButton="0" quotePrefix="0" xfId="0">
      <alignment vertical="top"/>
      <protection locked="0" hidden="0"/>
    </xf>
    <xf numFmtId="0" fontId="15" fillId="14" borderId="46" applyAlignment="1" applyProtection="1" pivotButton="0" quotePrefix="0" xfId="0">
      <alignment vertical="top"/>
      <protection locked="0" hidden="0"/>
    </xf>
    <xf numFmtId="0" fontId="14" fillId="14" borderId="47" applyAlignment="1" applyProtection="1" pivotButton="0" quotePrefix="0" xfId="0">
      <alignment vertical="top"/>
      <protection locked="0" hidden="0"/>
    </xf>
    <xf numFmtId="0" fontId="14" fillId="14" borderId="49" applyAlignment="1" applyProtection="1" pivotButton="0" quotePrefix="0" xfId="0">
      <alignment vertical="top"/>
      <protection locked="0" hidden="0"/>
    </xf>
    <xf numFmtId="0" fontId="15" fillId="14" borderId="47" applyAlignment="1" applyProtection="1" pivotButton="0" quotePrefix="0" xfId="0">
      <alignment vertical="top"/>
      <protection locked="0" hidden="0"/>
    </xf>
    <xf numFmtId="1" fontId="14" fillId="14" borderId="47" applyAlignment="1" applyProtection="1" pivotButton="0" quotePrefix="0" xfId="0">
      <alignment vertical="top"/>
      <protection locked="0" hidden="0"/>
    </xf>
    <xf numFmtId="171" fontId="14" fillId="14" borderId="47" applyAlignment="1" applyProtection="1" pivotButton="0" quotePrefix="0" xfId="0">
      <alignment vertical="top"/>
      <protection locked="0" hidden="0"/>
    </xf>
    <xf numFmtId="170" fontId="15" fillId="14" borderId="47" applyAlignment="1" applyProtection="1" pivotButton="0" quotePrefix="0" xfId="0">
      <alignment vertical="top"/>
      <protection locked="0" hidden="0"/>
    </xf>
    <xf numFmtId="0" fontId="15" fillId="14" borderId="48" applyAlignment="1" applyProtection="1" pivotButton="0" quotePrefix="0" xfId="0">
      <alignment vertical="top"/>
      <protection locked="0" hidden="0"/>
    </xf>
    <xf numFmtId="0" fontId="15" fillId="14" borderId="10" applyAlignment="1" applyProtection="1" pivotButton="0" quotePrefix="0" xfId="0">
      <alignment vertical="top"/>
      <protection locked="0" hidden="0"/>
    </xf>
    <xf numFmtId="0" fontId="14" fillId="14" borderId="10" applyAlignment="1" applyProtection="1" pivotButton="0" quotePrefix="0" xfId="0">
      <alignment vertical="top"/>
      <protection locked="0" hidden="0"/>
    </xf>
    <xf numFmtId="1" fontId="14" fillId="14" borderId="10" applyAlignment="1" applyProtection="1" pivotButton="0" quotePrefix="0" xfId="0">
      <alignment vertical="top"/>
      <protection locked="0" hidden="0"/>
    </xf>
    <xf numFmtId="171" fontId="15" fillId="14" borderId="10" applyAlignment="1" applyProtection="1" pivotButton="0" quotePrefix="0" xfId="0">
      <alignment vertical="top"/>
      <protection locked="0" hidden="0"/>
    </xf>
    <xf numFmtId="170" fontId="15" fillId="14" borderId="10" applyAlignment="1" applyProtection="1" pivotButton="0" quotePrefix="0" xfId="0">
      <alignment vertical="top"/>
      <protection locked="0" hidden="0"/>
    </xf>
    <xf numFmtId="170" fontId="15" fillId="14" borderId="8" applyAlignment="1" applyProtection="1" pivotButton="0" quotePrefix="0" xfId="0">
      <alignment vertical="top"/>
      <protection locked="0" hidden="0"/>
    </xf>
    <xf numFmtId="0" fontId="11" fillId="0" borderId="0" applyProtection="1" pivotButton="0" quotePrefix="0" xfId="0">
      <protection locked="0" hidden="0"/>
    </xf>
    <xf numFmtId="171" fontId="15" fillId="14" borderId="11" applyAlignment="1" applyProtection="1" pivotButton="0" quotePrefix="0" xfId="0">
      <alignment vertical="top"/>
      <protection locked="0" hidden="0"/>
    </xf>
    <xf numFmtId="170" fontId="15" fillId="14" borderId="11" applyAlignment="1" applyProtection="1" pivotButton="0" quotePrefix="0" xfId="0">
      <alignment vertical="top"/>
      <protection locked="0" hidden="0"/>
    </xf>
    <xf numFmtId="0" fontId="12" fillId="3" borderId="7" applyAlignment="1" pivotButton="0" quotePrefix="0" xfId="0">
      <alignment textRotation="90"/>
    </xf>
    <xf numFmtId="0" fontId="12" fillId="3" borderId="8" applyAlignment="1" pivotButton="0" quotePrefix="0" xfId="0">
      <alignment textRotation="90"/>
    </xf>
    <xf numFmtId="0" fontId="24" fillId="3" borderId="8" applyAlignment="1" pivotButton="0" quotePrefix="0" xfId="0">
      <alignment horizontal="center" textRotation="90"/>
    </xf>
    <xf numFmtId="0" fontId="24" fillId="3" borderId="8" applyAlignment="1" pivotButton="0" quotePrefix="0" xfId="0">
      <alignment horizontal="right" textRotation="90"/>
    </xf>
    <xf numFmtId="0" fontId="24" fillId="3" borderId="9" applyAlignment="1" pivotButton="0" quotePrefix="0" xfId="0">
      <alignment horizontal="right" textRotation="90"/>
    </xf>
    <xf numFmtId="0" fontId="12" fillId="3" borderId="0" applyAlignment="1" pivotButton="0" quotePrefix="0" xfId="0">
      <alignment textRotation="90"/>
    </xf>
    <xf numFmtId="0" fontId="12" fillId="3" borderId="0" applyAlignment="1" pivotButton="0" quotePrefix="0" xfId="0">
      <alignment horizontal="center"/>
    </xf>
    <xf numFmtId="0" fontId="12" fillId="3" borderId="7" applyAlignment="1" pivotButton="0" quotePrefix="0" xfId="0">
      <alignment horizontal="center" vertical="top"/>
    </xf>
    <xf numFmtId="0" fontId="12" fillId="3" borderId="8" applyAlignment="1" pivotButton="0" quotePrefix="0" xfId="0">
      <alignment horizontal="center" vertical="top"/>
    </xf>
    <xf numFmtId="1" fontId="12" fillId="3" borderId="8" applyAlignment="1" pivotButton="0" quotePrefix="0" xfId="0">
      <alignment horizontal="right" vertical="top"/>
    </xf>
    <xf numFmtId="1" fontId="12" fillId="3" borderId="9" applyAlignment="1" pivotButton="0" quotePrefix="0" xfId="0">
      <alignment horizontal="right" vertical="top"/>
    </xf>
    <xf numFmtId="0" fontId="14" fillId="3" borderId="0" applyAlignment="1" pivotButton="0" quotePrefix="0" xfId="0">
      <alignment horizontal="right"/>
    </xf>
    <xf numFmtId="1" fontId="14" fillId="3" borderId="0" applyAlignment="1" pivotButton="0" quotePrefix="0" xfId="0">
      <alignment horizontal="right"/>
    </xf>
    <xf numFmtId="1" fontId="12" fillId="3" borderId="0" pivotButton="0" quotePrefix="0" xfId="0"/>
    <xf numFmtId="0" fontId="12" fillId="3" borderId="8" applyAlignment="1" pivotButton="0" quotePrefix="0" xfId="0">
      <alignment horizontal="center"/>
    </xf>
    <xf numFmtId="1" fontId="12" fillId="3" borderId="8" applyAlignment="1" pivotButton="0" quotePrefix="0" xfId="0">
      <alignment horizontal="right"/>
    </xf>
    <xf numFmtId="1" fontId="12" fillId="3" borderId="9" applyAlignment="1" pivotButton="0" quotePrefix="0" xfId="0">
      <alignment horizontal="right"/>
    </xf>
    <xf numFmtId="0" fontId="25" fillId="3" borderId="0" pivotButton="0" quotePrefix="0" xfId="0"/>
    <xf numFmtId="0" fontId="26" fillId="3" borderId="0" pivotButton="0" quotePrefix="0" xfId="0"/>
    <xf numFmtId="9" fontId="26" fillId="3" borderId="0" pivotButton="0" quotePrefix="0" xfId="3"/>
    <xf numFmtId="1" fontId="26" fillId="3" borderId="0" pivotButton="0" quotePrefix="0" xfId="0"/>
    <xf numFmtId="0" fontId="10" fillId="12" borderId="7" applyAlignment="1" pivotButton="0" quotePrefix="0" xfId="0">
      <alignment horizontal="center"/>
    </xf>
    <xf numFmtId="0" fontId="10" fillId="12" borderId="8" applyAlignment="1" pivotButton="0" quotePrefix="0" xfId="0">
      <alignment horizontal="center"/>
    </xf>
    <xf numFmtId="0" fontId="11" fillId="12" borderId="8" applyAlignment="1" pivotButton="0" quotePrefix="0" xfId="0">
      <alignment horizontal="center"/>
    </xf>
    <xf numFmtId="0" fontId="11" fillId="12" borderId="8" applyAlignment="1" pivotButton="0" quotePrefix="0" xfId="0">
      <alignment horizontal="right"/>
    </xf>
    <xf numFmtId="0" fontId="11" fillId="12" borderId="9" applyAlignment="1" pivotButton="0" quotePrefix="0" xfId="0">
      <alignment horizontal="right"/>
    </xf>
    <xf numFmtId="0" fontId="11" fillId="15" borderId="23" applyAlignment="1" pivotButton="0" quotePrefix="0" xfId="0">
      <alignment vertical="top"/>
    </xf>
    <xf numFmtId="172" fontId="12" fillId="3" borderId="0" pivotButton="0" quotePrefix="0" xfId="2"/>
    <xf numFmtId="0" fontId="27" fillId="3" borderId="11" pivotButton="0" quotePrefix="0" xfId="0"/>
    <xf numFmtId="0" fontId="13" fillId="3" borderId="24" pivotButton="0" quotePrefix="0" xfId="0"/>
    <xf numFmtId="0" fontId="28" fillId="3" borderId="24" pivotButton="0" quotePrefix="0" xfId="0"/>
    <xf numFmtId="0" fontId="28" fillId="3" borderId="0" applyAlignment="1" pivotButton="0" quotePrefix="0" xfId="0">
      <alignment horizontal="center"/>
    </xf>
    <xf numFmtId="166" fontId="12" fillId="3" borderId="0" pivotButton="0" quotePrefix="0" xfId="1"/>
    <xf numFmtId="172" fontId="12" fillId="3" borderId="25" pivotButton="0" quotePrefix="0" xfId="2"/>
    <xf numFmtId="167" fontId="12" fillId="3" borderId="2" pivotButton="0" quotePrefix="0" xfId="2"/>
    <xf numFmtId="0" fontId="15" fillId="3" borderId="0" applyAlignment="1" applyProtection="1" pivotButton="0" quotePrefix="0" xfId="0">
      <alignment horizontal="right" vertical="top"/>
      <protection locked="0" hidden="0"/>
    </xf>
    <xf numFmtId="0" fontId="15" fillId="14" borderId="0" applyAlignment="1" applyProtection="1" pivotButton="0" quotePrefix="0" xfId="0">
      <alignment vertical="top"/>
      <protection locked="0" hidden="0"/>
    </xf>
    <xf numFmtId="166" fontId="16" fillId="5" borderId="0" applyAlignment="1" applyProtection="1" pivotButton="0" quotePrefix="0" xfId="1">
      <alignment horizontal="right"/>
      <protection locked="0" hidden="0"/>
    </xf>
    <xf numFmtId="166" fontId="16" fillId="14" borderId="0" applyAlignment="1" applyProtection="1" pivotButton="0" quotePrefix="0" xfId="1">
      <alignment horizontal="right"/>
      <protection locked="0" hidden="0"/>
    </xf>
    <xf numFmtId="166" fontId="11" fillId="11" borderId="8" applyProtection="1" pivotButton="0" quotePrefix="0" xfId="0">
      <protection locked="0" hidden="0"/>
    </xf>
    <xf numFmtId="0" fontId="13" fillId="16" borderId="8" pivotButton="0" quotePrefix="0" xfId="0"/>
    <xf numFmtId="0" fontId="13" fillId="16" borderId="2" applyAlignment="1" pivotButton="0" quotePrefix="0" xfId="0">
      <alignment horizontal="left"/>
    </xf>
    <xf numFmtId="0" fontId="29" fillId="3" borderId="2" applyAlignment="1" applyProtection="1" pivotButton="0" quotePrefix="0" xfId="0">
      <alignment horizontal="center"/>
      <protection locked="0" hidden="0"/>
    </xf>
    <xf numFmtId="0" fontId="15" fillId="7" borderId="26" applyAlignment="1" applyProtection="1" pivotButton="0" quotePrefix="0" xfId="0">
      <alignment horizontal="center"/>
      <protection locked="0" hidden="0"/>
    </xf>
    <xf numFmtId="0" fontId="15" fillId="7" borderId="0" applyAlignment="1" applyProtection="1" pivotButton="0" quotePrefix="0" xfId="0">
      <alignment horizontal="center"/>
      <protection locked="0" hidden="0"/>
    </xf>
    <xf numFmtId="0" fontId="15" fillId="7" borderId="27" applyAlignment="1" applyProtection="1" pivotButton="0" quotePrefix="0" xfId="0">
      <alignment horizontal="center"/>
      <protection locked="0" hidden="0"/>
    </xf>
    <xf numFmtId="0" fontId="15" fillId="3" borderId="16" applyAlignment="1" applyProtection="1" pivotButton="0" quotePrefix="0" xfId="0">
      <alignment horizontal="right" textRotation="90"/>
      <protection locked="0" hidden="0"/>
    </xf>
    <xf numFmtId="0" fontId="15" fillId="3" borderId="18" applyAlignment="1" applyProtection="1" pivotButton="0" quotePrefix="0" xfId="0">
      <alignment horizontal="right" textRotation="90"/>
      <protection locked="0" hidden="0"/>
    </xf>
    <xf numFmtId="0" fontId="15" fillId="3" borderId="19" applyAlignment="1" applyProtection="1" pivotButton="0" quotePrefix="0" xfId="0">
      <alignment horizontal="right" textRotation="90"/>
      <protection locked="0" hidden="0"/>
    </xf>
    <xf numFmtId="0" fontId="20" fillId="5" borderId="11" applyAlignment="1" applyProtection="1" pivotButton="0" quotePrefix="0" xfId="0">
      <alignment horizontal="center"/>
      <protection locked="0" hidden="0"/>
    </xf>
    <xf numFmtId="0" fontId="20" fillId="5" borderId="14" applyAlignment="1" applyProtection="1" pivotButton="0" quotePrefix="0" xfId="0">
      <alignment horizontal="center"/>
      <protection locked="0" hidden="0"/>
    </xf>
    <xf numFmtId="166" fontId="15" fillId="5" borderId="10" applyAlignment="1" applyProtection="1" pivotButton="0" quotePrefix="0" xfId="1">
      <alignment horizontal="right"/>
      <protection locked="0" hidden="0"/>
    </xf>
    <xf numFmtId="166" fontId="15" fillId="5" borderId="13" applyAlignment="1" applyProtection="1" pivotButton="0" quotePrefix="0" xfId="1">
      <alignment horizontal="right"/>
      <protection locked="0" hidden="0"/>
    </xf>
    <xf numFmtId="0" fontId="15" fillId="10" borderId="16" applyAlignment="1" applyProtection="1" pivotButton="0" quotePrefix="0" xfId="0">
      <alignment horizontal="center" vertical="center" textRotation="90"/>
      <protection locked="0" hidden="0"/>
    </xf>
    <xf numFmtId="0" fontId="15" fillId="10" borderId="18" applyAlignment="1" applyProtection="1" pivotButton="0" quotePrefix="0" xfId="0">
      <alignment horizontal="center" vertical="center" textRotation="90"/>
      <protection locked="0" hidden="0"/>
    </xf>
    <xf numFmtId="0" fontId="15" fillId="10" borderId="19" applyAlignment="1" applyProtection="1" pivotButton="0" quotePrefix="0" xfId="0">
      <alignment horizontal="center" vertical="center" textRotation="90"/>
      <protection locked="0" hidden="0"/>
    </xf>
    <xf numFmtId="0" fontId="11" fillId="11" borderId="7" applyAlignment="1" pivotButton="0" quotePrefix="0" xfId="0">
      <alignment horizontal="left"/>
    </xf>
    <xf numFmtId="0" fontId="11" fillId="11" borderId="8" applyAlignment="1" pivotButton="0" quotePrefix="0" xfId="0">
      <alignment horizontal="left"/>
    </xf>
    <xf numFmtId="0" fontId="11" fillId="11" borderId="9" applyAlignment="1" pivotButton="0" quotePrefix="0" xfId="0">
      <alignment horizontal="left"/>
    </xf>
    <xf numFmtId="0" fontId="10" fillId="11" borderId="8" applyAlignment="1" pivotButton="0" quotePrefix="0" xfId="0">
      <alignment horizontal="left"/>
    </xf>
    <xf numFmtId="0" fontId="10" fillId="11" borderId="9" applyAlignment="1" pivotButton="0" quotePrefix="0" xfId="0">
      <alignment horizontal="left"/>
    </xf>
    <xf numFmtId="0" fontId="15" fillId="3" borderId="4" applyAlignment="1" pivotButton="0" quotePrefix="1" xfId="0">
      <alignment horizontal="center" vertical="top"/>
    </xf>
    <xf numFmtId="0" fontId="15" fillId="3" borderId="5" applyAlignment="1" pivotButton="0" quotePrefix="1" xfId="0">
      <alignment horizontal="center" vertical="top"/>
    </xf>
    <xf numFmtId="0" fontId="15" fillId="3" borderId="6" applyAlignment="1" pivotButton="0" quotePrefix="1" xfId="0">
      <alignment horizontal="center" vertical="top"/>
    </xf>
    <xf numFmtId="0" fontId="15" fillId="13" borderId="8" applyAlignment="1" pivotButton="0" quotePrefix="0" xfId="0">
      <alignment horizontal="left" vertical="top"/>
    </xf>
    <xf numFmtId="0" fontId="15" fillId="13" borderId="9" applyAlignment="1" pivotButton="0" quotePrefix="0" xfId="0">
      <alignment horizontal="left" vertical="top"/>
    </xf>
    <xf numFmtId="0" fontId="20" fillId="3" borderId="8" pivotButton="0" quotePrefix="0" xfId="0"/>
    <xf numFmtId="0" fontId="18" fillId="3" borderId="8" pivotButton="0" quotePrefix="0" xfId="0"/>
    <xf numFmtId="0" fontId="16" fillId="3" borderId="8" pivotButton="0" quotePrefix="1" xfId="0"/>
    <xf numFmtId="0" fontId="16" fillId="3" borderId="8" pivotButton="0" quotePrefix="0" xfId="0"/>
    <xf numFmtId="0" fontId="15" fillId="3" borderId="16" applyAlignment="1" pivotButton="0" quotePrefix="0" xfId="0">
      <alignment horizontal="right" textRotation="90"/>
    </xf>
    <xf numFmtId="0" fontId="15" fillId="3" borderId="18" applyAlignment="1" pivotButton="0" quotePrefix="0" xfId="0">
      <alignment horizontal="right" textRotation="90"/>
    </xf>
    <xf numFmtId="0" fontId="15" fillId="3" borderId="19" applyAlignment="1" pivotButton="0" quotePrefix="0" xfId="0">
      <alignment horizontal="right" textRotation="90"/>
    </xf>
    <xf numFmtId="0" fontId="15" fillId="3" borderId="1" applyAlignment="1" pivotButton="0" quotePrefix="0" xfId="0">
      <alignment horizontal="right" textRotation="90"/>
    </xf>
    <xf numFmtId="0" fontId="15" fillId="3" borderId="21" applyAlignment="1" pivotButton="0" quotePrefix="0" xfId="0">
      <alignment horizontal="right" textRotation="90"/>
    </xf>
    <xf numFmtId="0" fontId="19" fillId="3" borderId="8" pivotButton="0" quotePrefix="0" xfId="0"/>
    <xf numFmtId="0" fontId="15" fillId="14" borderId="7" applyAlignment="1" applyProtection="1" pivotButton="0" quotePrefix="0" xfId="0">
      <alignment vertical="top"/>
      <protection locked="0" hidden="0"/>
    </xf>
    <xf numFmtId="0" fontId="15" fillId="14" borderId="8" applyAlignment="1" applyProtection="1" pivotButton="0" quotePrefix="0" xfId="0">
      <alignment vertical="top"/>
      <protection locked="0" hidden="0"/>
    </xf>
    <xf numFmtId="0" fontId="14" fillId="14" borderId="7" applyAlignment="1" applyProtection="1" pivotButton="0" quotePrefix="0" xfId="0">
      <alignment vertical="top"/>
      <protection locked="0" hidden="0"/>
    </xf>
    <xf numFmtId="0" fontId="14" fillId="14" borderId="8" applyAlignment="1" applyProtection="1" pivotButton="0" quotePrefix="0" xfId="0">
      <alignment vertical="top"/>
      <protection locked="0" hidden="0"/>
    </xf>
    <xf numFmtId="0" fontId="15" fillId="2" borderId="7" applyAlignment="1" applyProtection="1" pivotButton="0" quotePrefix="0" xfId="0">
      <alignment vertical="top"/>
      <protection locked="0" hidden="0"/>
    </xf>
    <xf numFmtId="0" fontId="15" fillId="2" borderId="8" applyAlignment="1" applyProtection="1" pivotButton="0" quotePrefix="0" xfId="0">
      <alignment vertical="top"/>
      <protection locked="0" hidden="0"/>
    </xf>
    <xf numFmtId="0" fontId="15" fillId="5" borderId="4" applyAlignment="1" applyProtection="1" pivotButton="0" quotePrefix="0" xfId="0">
      <alignment horizontal="center"/>
      <protection locked="0" hidden="0"/>
    </xf>
    <xf numFmtId="0" fontId="15" fillId="5" borderId="5" applyAlignment="1" applyProtection="1" pivotButton="0" quotePrefix="0" xfId="0">
      <alignment horizontal="center"/>
      <protection locked="0" hidden="0"/>
    </xf>
    <xf numFmtId="0" fontId="11" fillId="12" borderId="12" applyAlignment="1" applyProtection="1" pivotButton="0" quotePrefix="0" xfId="0">
      <alignment horizontal="center"/>
      <protection locked="0" hidden="0"/>
    </xf>
    <xf numFmtId="0" fontId="14" fillId="3" borderId="1" applyAlignment="1" applyProtection="1" pivotButton="0" quotePrefix="0" xfId="0">
      <alignment horizontal="right" textRotation="90"/>
      <protection locked="0" hidden="0"/>
    </xf>
    <xf numFmtId="0" fontId="14" fillId="3" borderId="21" applyAlignment="1" applyProtection="1" pivotButton="0" quotePrefix="0" xfId="0">
      <alignment horizontal="right" textRotation="90"/>
      <protection locked="0" hidden="0"/>
    </xf>
    <xf numFmtId="0" fontId="15" fillId="3" borderId="8" applyAlignment="1" pivotButton="0" quotePrefix="1" xfId="0">
      <alignment horizontal="center"/>
    </xf>
    <xf numFmtId="0" fontId="11" fillId="15" borderId="7" applyAlignment="1" pivotButton="0" quotePrefix="0" xfId="0">
      <alignment horizontal="left" vertical="top"/>
    </xf>
    <xf numFmtId="0" fontId="11" fillId="15" borderId="8" applyAlignment="1" pivotButton="0" quotePrefix="0" xfId="0">
      <alignment horizontal="left" vertical="top"/>
    </xf>
    <xf numFmtId="0" fontId="11" fillId="15" borderId="9" applyAlignment="1" pivotButton="0" quotePrefix="0" xfId="0">
      <alignment horizontal="left" vertical="top"/>
    </xf>
    <xf numFmtId="0" fontId="12" fillId="3" borderId="4" applyAlignment="1" pivotButton="0" quotePrefix="0" xfId="0">
      <alignment horizontal="center"/>
    </xf>
    <xf numFmtId="0" fontId="12" fillId="3" borderId="5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8" pivotButton="0" quotePrefix="0" xfId="0"/>
    <xf numFmtId="0" fontId="12" fillId="3" borderId="8" applyAlignment="1" pivotButton="0" quotePrefix="0" xfId="0">
      <alignment horizontal="left" vertical="top"/>
    </xf>
    <xf numFmtId="0" fontId="11" fillId="11" borderId="23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  <xf numFmtId="164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15" fillId="3" borderId="51" applyAlignment="1" pivotButton="0" quotePrefix="0" xfId="0">
      <alignment horizontal="right" textRotation="90"/>
    </xf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15" fillId="3" borderId="23" applyAlignment="1" pivotButton="0" quotePrefix="1" xfId="0">
      <alignment horizontal="center" vertical="top"/>
    </xf>
    <xf numFmtId="0" fontId="0" fillId="0" borderId="5" pivotButton="0" quotePrefix="0" xfId="0"/>
    <xf numFmtId="165" fontId="16" fillId="3" borderId="8" applyAlignment="1" pivotButton="0" quotePrefix="0" xfId="1">
      <alignment horizontal="center" vertical="top"/>
    </xf>
    <xf numFmtId="0" fontId="0" fillId="0" borderId="6" pivotButton="0" quotePrefix="0" xfId="0"/>
    <xf numFmtId="165" fontId="16" fillId="3" borderId="0" applyAlignment="1" pivotButton="0" quotePrefix="0" xfId="1">
      <alignment horizontal="center" vertical="top"/>
    </xf>
    <xf numFmtId="165" fontId="15" fillId="3" borderId="0" applyAlignment="1" pivotButton="0" quotePrefix="0" xfId="1">
      <alignment horizontal="right"/>
    </xf>
    <xf numFmtId="165" fontId="16" fillId="3" borderId="0" applyAlignment="1" pivotButton="0" quotePrefix="0" xfId="1">
      <alignment horizontal="center" vertical="top" wrapText="1"/>
    </xf>
    <xf numFmtId="165" fontId="16" fillId="3" borderId="0" applyAlignment="1" pivotButton="0" quotePrefix="0" xfId="1">
      <alignment vertical="top"/>
    </xf>
    <xf numFmtId="165" fontId="17" fillId="3" borderId="0" applyAlignment="1" pivotButton="0" quotePrefix="0" xfId="1">
      <alignment vertical="top"/>
    </xf>
    <xf numFmtId="0" fontId="15" fillId="3" borderId="51" applyAlignment="1" applyProtection="1" pivotButton="0" quotePrefix="0" xfId="0">
      <alignment horizontal="right" textRotation="90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6" fontId="11" fillId="11" borderId="9" applyAlignment="1" applyProtection="1" pivotButton="0" quotePrefix="0" xfId="1">
      <alignment horizontal="right"/>
      <protection locked="0" hidden="0"/>
    </xf>
    <xf numFmtId="166" fontId="15" fillId="5" borderId="23" applyAlignment="1" applyProtection="1" pivotButton="0" quotePrefix="0" xfId="1">
      <alignment horizontal="right"/>
      <protection locked="0" hidden="0"/>
    </xf>
    <xf numFmtId="0" fontId="0" fillId="0" borderId="8" applyProtection="1" pivotButton="0" quotePrefix="0" xfId="0">
      <protection locked="0" hidden="0"/>
    </xf>
    <xf numFmtId="166" fontId="12" fillId="14" borderId="9" applyAlignment="1" applyProtection="1" pivotButton="0" quotePrefix="0" xfId="1">
      <alignment horizontal="right"/>
      <protection locked="0" hidden="0"/>
    </xf>
    <xf numFmtId="166" fontId="16" fillId="5" borderId="4" applyAlignment="1" applyProtection="1" pivotButton="0" quotePrefix="0" xfId="1">
      <alignment horizontal="right"/>
      <protection locked="0" hidden="0"/>
    </xf>
    <xf numFmtId="166" fontId="16" fillId="14" borderId="9" applyAlignment="1" applyProtection="1" pivotButton="0" quotePrefix="0" xfId="1">
      <alignment horizontal="right"/>
      <protection locked="0" hidden="0"/>
    </xf>
    <xf numFmtId="166" fontId="16" fillId="5" borderId="5" applyAlignment="1" applyProtection="1" pivotButton="0" quotePrefix="0" xfId="1">
      <alignment horizontal="right"/>
      <protection locked="0" hidden="0"/>
    </xf>
    <xf numFmtId="166" fontId="16" fillId="5" borderId="6" applyAlignment="1" applyProtection="1" pivotButton="0" quotePrefix="0" xfId="1">
      <alignment horizontal="right"/>
      <protection locked="0" hidden="0"/>
    </xf>
    <xf numFmtId="166" fontId="16" fillId="2" borderId="9" applyAlignment="1" applyProtection="1" pivotButton="0" quotePrefix="0" xfId="1">
      <alignment horizontal="right"/>
      <protection locked="0" hidden="0"/>
    </xf>
    <xf numFmtId="165" fontId="12" fillId="14" borderId="9" applyAlignment="1" applyProtection="1" pivotButton="0" quotePrefix="0" xfId="1">
      <alignment horizontal="right"/>
      <protection locked="0" hidden="0"/>
    </xf>
    <xf numFmtId="165" fontId="16" fillId="14" borderId="9" applyAlignment="1" applyProtection="1" pivotButton="0" quotePrefix="0" xfId="1">
      <alignment horizontal="right"/>
      <protection locked="0" hidden="0"/>
    </xf>
    <xf numFmtId="166" fontId="16" fillId="14" borderId="0" applyAlignment="1" applyProtection="1" pivotButton="0" quotePrefix="0" xfId="1">
      <alignment horizontal="right"/>
      <protection locked="0" hidden="0"/>
    </xf>
    <xf numFmtId="166" fontId="16" fillId="5" borderId="0" applyAlignment="1" applyProtection="1" pivotButton="0" quotePrefix="0" xfId="1">
      <alignment horizontal="right"/>
      <protection locked="0" hidden="0"/>
    </xf>
    <xf numFmtId="165" fontId="21" fillId="3" borderId="0" applyProtection="1" pivotButton="0" quotePrefix="0" xfId="1">
      <protection locked="0" hidden="0"/>
    </xf>
    <xf numFmtId="0" fontId="15" fillId="10" borderId="51" applyAlignment="1" applyProtection="1" pivotButton="0" quotePrefix="0" xfId="0">
      <alignment horizontal="center" vertical="center" textRotation="90"/>
      <protection locked="0" hidden="0"/>
    </xf>
    <xf numFmtId="0" fontId="20" fillId="5" borderId="4" applyAlignment="1" applyProtection="1" pivotButton="0" quotePrefix="0" xfId="0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166" fontId="16" fillId="10" borderId="9" applyProtection="1" pivotButton="0" quotePrefix="0" xfId="0">
      <protection locked="0" hidden="0"/>
    </xf>
    <xf numFmtId="166" fontId="15" fillId="5" borderId="6" applyAlignment="1" applyProtection="1" pivotButton="0" quotePrefix="0" xfId="1">
      <alignment horizontal="right"/>
      <protection locked="0" hidden="0"/>
    </xf>
    <xf numFmtId="0" fontId="0" fillId="0" borderId="13" applyProtection="1" pivotButton="0" quotePrefix="0" xfId="0">
      <protection locked="0" hidden="0"/>
    </xf>
    <xf numFmtId="167" fontId="15" fillId="3" borderId="0" applyAlignment="1" applyProtection="1" pivotButton="0" quotePrefix="0" xfId="2">
      <alignment horizontal="right"/>
      <protection locked="0" hidden="0"/>
    </xf>
    <xf numFmtId="0" fontId="15" fillId="7" borderId="5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6" fontId="21" fillId="3" borderId="12" applyProtection="1" pivotButton="0" quotePrefix="0" xfId="1">
      <protection locked="0" hidden="0"/>
    </xf>
    <xf numFmtId="166" fontId="21" fillId="0" borderId="12" applyProtection="1" pivotButton="0" quotePrefix="0" xfId="1">
      <protection locked="0" hidden="0"/>
    </xf>
    <xf numFmtId="166" fontId="21" fillId="3" borderId="0" applyAlignment="1" applyProtection="1" pivotButton="0" quotePrefix="0" xfId="1">
      <alignment horizontal="right"/>
      <protection locked="0" hidden="0"/>
    </xf>
    <xf numFmtId="166" fontId="21" fillId="0" borderId="0" applyProtection="1" pivotButton="0" quotePrefix="0" xfId="1">
      <protection locked="0" hidden="0"/>
    </xf>
    <xf numFmtId="166" fontId="16" fillId="3" borderId="2" applyAlignment="1" pivotButton="0" quotePrefix="0" xfId="1">
      <alignment horizontal="right"/>
    </xf>
    <xf numFmtId="168" fontId="16" fillId="6" borderId="2" applyAlignment="1" applyProtection="1" pivotButton="0" quotePrefix="0" xfId="0">
      <alignment horizontal="center"/>
      <protection locked="0" hidden="0"/>
    </xf>
    <xf numFmtId="166" fontId="16" fillId="6" borderId="2" applyAlignment="1" applyProtection="1" pivotButton="0" quotePrefix="0" xfId="1">
      <alignment horizontal="right"/>
      <protection locked="0" hidden="0"/>
    </xf>
    <xf numFmtId="166" fontId="16" fillId="6" borderId="9" applyAlignment="1" applyProtection="1" pivotButton="0" quotePrefix="0" xfId="1">
      <alignment horizontal="right"/>
      <protection locked="0" hidden="0"/>
    </xf>
    <xf numFmtId="166" fontId="16" fillId="6" borderId="8" applyAlignment="1" applyProtection="1" pivotButton="0" quotePrefix="0" xfId="1">
      <alignment horizontal="right"/>
      <protection locked="0" hidden="0"/>
    </xf>
    <xf numFmtId="166" fontId="15" fillId="3" borderId="0" applyAlignment="1" pivotButton="0" quotePrefix="0" xfId="1">
      <alignment horizontal="right"/>
    </xf>
    <xf numFmtId="168" fontId="16" fillId="3" borderId="0" applyProtection="1" pivotButton="0" quotePrefix="0" xfId="0">
      <protection locked="0" hidden="0"/>
    </xf>
    <xf numFmtId="166" fontId="15" fillId="3" borderId="0" applyAlignment="1" applyProtection="1" pivotButton="0" quotePrefix="0" xfId="1">
      <alignment horizontal="right"/>
      <protection locked="0" hidden="0"/>
    </xf>
    <xf numFmtId="168" fontId="15" fillId="2" borderId="8" applyAlignment="1" applyProtection="1" pivotButton="0" quotePrefix="0" xfId="0">
      <alignment vertical="top"/>
      <protection locked="0" hidden="0"/>
    </xf>
    <xf numFmtId="168" fontId="16" fillId="3" borderId="2" applyAlignment="1" pivotButton="0" quotePrefix="0" xfId="0">
      <alignment horizontal="center"/>
    </xf>
    <xf numFmtId="166" fontId="15" fillId="3" borderId="2" applyAlignment="1" pivotButton="0" quotePrefix="0" xfId="1">
      <alignment horizontal="right"/>
    </xf>
    <xf numFmtId="166" fontId="15" fillId="6" borderId="2" applyAlignment="1" applyProtection="1" pivotButton="0" quotePrefix="0" xfId="1">
      <alignment horizontal="right"/>
      <protection locked="0" hidden="0"/>
    </xf>
    <xf numFmtId="166" fontId="15" fillId="6" borderId="9" applyAlignment="1" applyProtection="1" pivotButton="0" quotePrefix="0" xfId="1">
      <alignment horizontal="right"/>
      <protection locked="0" hidden="0"/>
    </xf>
    <xf numFmtId="166" fontId="16" fillId="3" borderId="2" applyAlignment="1" pivotButton="0" quotePrefix="0" xfId="1">
      <alignment horizontal="right" wrapText="1"/>
    </xf>
    <xf numFmtId="166" fontId="15" fillId="3" borderId="8" applyAlignment="1" pivotButton="0" quotePrefix="0" xfId="1">
      <alignment horizontal="right"/>
    </xf>
    <xf numFmtId="166" fontId="16" fillId="6" borderId="2" applyAlignment="1" applyProtection="1" pivotButton="0" quotePrefix="0" xfId="1">
      <alignment horizontal="right" wrapText="1"/>
      <protection locked="0" hidden="0"/>
    </xf>
    <xf numFmtId="166" fontId="16" fillId="6" borderId="8" applyAlignment="1" applyProtection="1" pivotButton="0" quotePrefix="0" xfId="1">
      <alignment horizontal="right" wrapText="1"/>
      <protection locked="0" hidden="0"/>
    </xf>
    <xf numFmtId="168" fontId="11" fillId="9" borderId="8" applyProtection="1" pivotButton="0" quotePrefix="0" xfId="0">
      <protection locked="0" hidden="0"/>
    </xf>
    <xf numFmtId="168" fontId="16" fillId="3" borderId="0" applyAlignment="1" applyProtection="1" pivotButton="0" quotePrefix="0" xfId="0">
      <alignment vertical="top"/>
      <protection locked="0" hidden="0"/>
    </xf>
    <xf numFmtId="165" fontId="16" fillId="3" borderId="0" applyAlignment="1" applyProtection="1" pivotButton="0" quotePrefix="0" xfId="1">
      <alignment vertical="top"/>
      <protection locked="0" hidden="0"/>
    </xf>
    <xf numFmtId="166" fontId="16" fillId="3" borderId="0" applyProtection="1" pivotButton="0" quotePrefix="0" xfId="0">
      <protection locked="0" hidden="0"/>
    </xf>
    <xf numFmtId="168" fontId="11" fillId="9" borderId="7" applyProtection="1" pivotButton="0" quotePrefix="0" xfId="0">
      <protection locked="0" hidden="0"/>
    </xf>
    <xf numFmtId="168" fontId="15" fillId="2" borderId="7" applyAlignment="1" applyProtection="1" pivotButton="0" quotePrefix="0" xfId="0">
      <alignment vertical="top"/>
      <protection locked="0" hidden="0"/>
    </xf>
    <xf numFmtId="166" fontId="16" fillId="3" borderId="12" applyAlignment="1" applyProtection="1" pivotButton="0" quotePrefix="0" xfId="1">
      <alignment horizontal="right"/>
      <protection locked="0" hidden="0"/>
    </xf>
    <xf numFmtId="166" fontId="16" fillId="3" borderId="0" applyAlignment="1" applyProtection="1" pivotButton="0" quotePrefix="0" xfId="1">
      <alignment horizontal="right"/>
      <protection locked="0" hidden="0"/>
    </xf>
    <xf numFmtId="166" fontId="11" fillId="11" borderId="8" applyProtection="1" pivotButton="0" quotePrefix="0" xfId="0">
      <protection locked="0" hidden="0"/>
    </xf>
    <xf numFmtId="166" fontId="11" fillId="9" borderId="9" applyAlignment="1" applyProtection="1" pivotButton="0" quotePrefix="0" xfId="1">
      <alignment horizontal="right" vertical="center"/>
      <protection locked="0" hidden="0"/>
    </xf>
    <xf numFmtId="167" fontId="16" fillId="6" borderId="39" applyProtection="1" pivotButton="0" quotePrefix="0" xfId="2">
      <protection locked="0" hidden="0"/>
    </xf>
    <xf numFmtId="167" fontId="16" fillId="6" borderId="36" applyProtection="1" pivotButton="0" quotePrefix="0" xfId="2">
      <protection locked="0" hidden="0"/>
    </xf>
    <xf numFmtId="166" fontId="14" fillId="3" borderId="0" applyAlignment="1" applyProtection="1" pivotButton="0" quotePrefix="0" xfId="1">
      <alignment horizontal="right" vertical="center"/>
      <protection locked="0" hidden="0"/>
    </xf>
    <xf numFmtId="166" fontId="14" fillId="7" borderId="9" applyAlignment="1" applyProtection="1" pivotButton="0" quotePrefix="0" xfId="1">
      <alignment horizontal="right" vertical="center"/>
      <protection locked="0" hidden="0"/>
    </xf>
    <xf numFmtId="166" fontId="13" fillId="3" borderId="0" applyProtection="1" pivotButton="0" quotePrefix="0" xfId="1">
      <protection locked="0" hidden="0"/>
    </xf>
    <xf numFmtId="166" fontId="13" fillId="3" borderId="22" applyProtection="1" pivotButton="0" quotePrefix="0" xfId="1">
      <protection locked="0" hidden="0"/>
    </xf>
    <xf numFmtId="169" fontId="12" fillId="3" borderId="0" applyAlignment="1" pivotButton="0" quotePrefix="0" xfId="4">
      <alignment horizontal="right"/>
    </xf>
    <xf numFmtId="170" fontId="16" fillId="0" borderId="0" pivotButton="0" quotePrefix="0" xfId="0"/>
    <xf numFmtId="170" fontId="11" fillId="11" borderId="10" applyProtection="1" pivotButton="0" quotePrefix="0" xfId="0">
      <protection locked="0" hidden="0"/>
    </xf>
    <xf numFmtId="171" fontId="15" fillId="14" borderId="7" applyAlignment="1" applyProtection="1" pivotButton="0" quotePrefix="0" xfId="0">
      <alignment vertical="top"/>
      <protection locked="0" hidden="0"/>
    </xf>
    <xf numFmtId="170" fontId="14" fillId="14" borderId="7" applyAlignment="1" applyProtection="1" pivotButton="0" quotePrefix="0" xfId="0">
      <alignment vertical="top"/>
      <protection locked="0" hidden="0"/>
    </xf>
    <xf numFmtId="170" fontId="15" fillId="14" borderId="7" applyAlignment="1" applyProtection="1" pivotButton="0" quotePrefix="0" xfId="0">
      <alignment vertical="top"/>
      <protection locked="0" hidden="0"/>
    </xf>
    <xf numFmtId="171" fontId="14" fillId="14" borderId="42" applyAlignment="1" applyProtection="1" pivotButton="0" quotePrefix="0" xfId="0">
      <alignment vertical="top"/>
      <protection locked="0" hidden="0"/>
    </xf>
    <xf numFmtId="170" fontId="15" fillId="14" borderId="42" applyAlignment="1" applyProtection="1" pivotButton="0" quotePrefix="0" xfId="0">
      <alignment vertical="top"/>
      <protection locked="0" hidden="0"/>
    </xf>
    <xf numFmtId="171" fontId="14" fillId="14" borderId="7" applyAlignment="1" applyProtection="1" pivotButton="0" quotePrefix="0" xfId="0">
      <alignment vertical="top"/>
      <protection locked="0" hidden="0"/>
    </xf>
    <xf numFmtId="171" fontId="14" fillId="14" borderId="47" applyAlignment="1" applyProtection="1" pivotButton="0" quotePrefix="0" xfId="0">
      <alignment vertical="top"/>
      <protection locked="0" hidden="0"/>
    </xf>
    <xf numFmtId="170" fontId="15" fillId="14" borderId="47" applyAlignment="1" applyProtection="1" pivotButton="0" quotePrefix="0" xfId="0">
      <alignment vertical="top"/>
      <protection locked="0" hidden="0"/>
    </xf>
    <xf numFmtId="171" fontId="15" fillId="14" borderId="10" applyAlignment="1" applyProtection="1" pivotButton="0" quotePrefix="0" xfId="0">
      <alignment vertical="top"/>
      <protection locked="0" hidden="0"/>
    </xf>
    <xf numFmtId="170" fontId="15" fillId="14" borderId="10" applyAlignment="1" applyProtection="1" pivotButton="0" quotePrefix="0" xfId="0">
      <alignment vertical="top"/>
      <protection locked="0" hidden="0"/>
    </xf>
    <xf numFmtId="170" fontId="15" fillId="14" borderId="8" applyAlignment="1" applyProtection="1" pivotButton="0" quotePrefix="0" xfId="0">
      <alignment vertical="top"/>
      <protection locked="0" hidden="0"/>
    </xf>
    <xf numFmtId="171" fontId="15" fillId="14" borderId="11" applyAlignment="1" applyProtection="1" pivotButton="0" quotePrefix="0" xfId="0">
      <alignment vertical="top"/>
      <protection locked="0" hidden="0"/>
    </xf>
    <xf numFmtId="170" fontId="15" fillId="14" borderId="11" applyAlignment="1" applyProtection="1" pivotButton="0" quotePrefix="0" xfId="0">
      <alignment vertical="top"/>
      <protection locked="0" hidden="0"/>
    </xf>
    <xf numFmtId="0" fontId="11" fillId="15" borderId="23" applyAlignment="1" pivotButton="0" quotePrefix="0" xfId="0">
      <alignment horizontal="left" vertical="top"/>
    </xf>
    <xf numFmtId="0" fontId="12" fillId="3" borderId="23" applyAlignment="1" pivotButton="0" quotePrefix="0" xfId="0">
      <alignment horizontal="center"/>
    </xf>
    <xf numFmtId="166" fontId="12" fillId="3" borderId="0" pivotButton="0" quotePrefix="0" xfId="1"/>
    <xf numFmtId="172" fontId="12" fillId="3" borderId="25" pivotButton="0" quotePrefix="0" xfId="2"/>
    <xf numFmtId="167" fontId="12" fillId="3" borderId="2" pivotButton="0" quotePrefix="0" xfId="2"/>
    <xf numFmtId="172" fontId="12" fillId="3" borderId="0" pivotButton="0" quotePrefix="0" xfId="2"/>
  </cellXfs>
  <cellStyles count="5">
    <cellStyle name="Normal" xfId="0" builtinId="0"/>
    <cellStyle name="Comma" xfId="1" builtinId="3"/>
    <cellStyle name="Currency" xfId="2" builtinId="4"/>
    <cellStyle name="Percent" xfId="3" builtinId="5"/>
    <cellStyle name="Standaard_BUDGE-01.XLS_1" xfId="4"/>
  </cellStyles>
  <dxfs count="75">
    <dxf>
      <font>
        <color theme="2" tint="-0.249946592608417"/>
      </font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09994811853389081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color theme="2" tint="-0.249946592608417"/>
      </font>
    </dxf>
    <dxf>
      <font>
        <color theme="2" tint="-0.249946592608417"/>
      </font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69" formatCode="_([$€-2]\ * #,##0.00_);_([$€-2]\ * \(#,##0.00\);_([$€-2]\ * &quot;-&quot;??_);_(@_)"/>
      <fill>
        <patternFill patternType="solid">
          <fgColor indexed="64"/>
          <bgColor rgb="FFEAEBEB"/>
        </patternFill>
      </fill>
      <alignment horizontal="general" vertical="top"/>
      <border outline="0">
        <left/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70" formatCode="_ [$€-413]\ * #,##0.00_ ;_ [$€-413]\ * \-#,##0.00_ ;_ [$€-413]\ * &quot;-&quot;??_ ;_ @_ "/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border outline="0">
        <top style="hair">
          <color auto="1"/>
        </top>
        <bottom style="hair">
          <color auto="1"/>
        </bottom>
      </border>
    </dxf>
    <dxf>
      <font>
        <name val="Arial"/>
        <family val="2"/>
        <strike val="0"/>
        <outline val="0"/>
        <shadow val="0"/>
        <sz val="10"/>
        <vertAlign val="baseline"/>
      </font>
      <fill>
        <patternFill patternType="solid">
          <fgColor indexed="64"/>
          <bgColor rgb="FFEAEBEB"/>
        </patternFill>
      </fill>
    </dxf>
    <dxf>
      <border outline="0">
        <bottom style="hair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rgb="FF1D1740"/>
        </patternFill>
      </fill>
      <protection locked="0" hidden="0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Merel Udding</author>
  </authors>
  <commentList>
    <comment ref="B7" authorId="0" shapeId="0">
      <text>
        <t>Merel Udding:
Hier Projectgegevens invullen, worden automatisch ingevuld op het voorblad en overige tabbladen.</t>
      </text>
    </comment>
    <comment ref="C7" authorId="0" shapeId="0">
      <text>
        <t>Merel Udding:
Hier Projectgegevens invullen, worden automatisch ingevuld op het voorblad en overige tabbladen.</t>
      </text>
    </comment>
    <comment ref="E23" authorId="0" shapeId="0">
      <text>
        <t xml:space="preserve">Merel Udding:
Hier afmetingen invullen, worden automatisch doorberekend. </t>
      </text>
    </comment>
  </commentList>
</comments>
</file>

<file path=xl/comments/comment2.xml><?xml version="1.0" encoding="utf-8"?>
<comments xmlns="http://schemas.openxmlformats.org/spreadsheetml/2006/main">
  <authors>
    <author>Jaap Geujen/NLD</author>
  </authors>
  <commentList>
    <comment ref="M7" authorId="0" shapeId="0">
      <text>
        <t xml:space="preserve">PDS head bepaalt opslagen
</t>
      </text>
    </comment>
  </commentList>
</comments>
</file>

<file path=xl/comments/comment3.xml><?xml version="1.0" encoding="utf-8"?>
<comments xmlns="http://schemas.openxmlformats.org/spreadsheetml/2006/main">
  <authors>
    <author>Merel Udding</author>
  </authors>
  <commentList>
    <comment ref="E11" authorId="0" shapeId="0">
      <text>
        <t>Merel Udding:
Vul hier het aantal in.</t>
      </text>
    </comment>
    <comment ref="F11" authorId="0" shapeId="0">
      <text>
        <t>Merel Udding:
Vul hier de lengte in.</t>
      </text>
    </comment>
    <comment ref="G11" authorId="0" shapeId="0">
      <text>
        <t>Merel Udding:
Vul hier de breedte in.</t>
      </text>
    </comment>
    <comment ref="H11" authorId="0" shapeId="0">
      <text>
        <t xml:space="preserve">Merel Udding:
Vul hier de hoogte in. </t>
      </text>
    </comment>
  </commentList>
</comments>
</file>

<file path=xl/tables/table1.xml><?xml version="1.0" encoding="utf-8"?>
<table xmlns="http://schemas.openxmlformats.org/spreadsheetml/2006/main" id="1" name="Tabel1" displayName="Tabel1" ref="B4:M124" headerRowCount="1" totalsRowShown="0" headerRowDxfId="74" dataDxfId="72" headerRowBorderDxfId="73" tableBorderDxfId="71">
  <autoFilter ref="B4:M124"/>
  <tableColumns count="12">
    <tableColumn id="1" name="Column" dataDxfId="70"/>
    <tableColumn id="2" name="Type" dataDxfId="69"/>
    <tableColumn id="13" name="Code new" dataDxfId="68"/>
    <tableColumn id="3" name="Code" dataDxfId="67"/>
    <tableColumn id="4" name="Cost type" dataDxfId="66"/>
    <tableColumn id="5" name="Description" dataDxfId="65"/>
    <tableColumn id="6" name="Manual calculation" dataDxfId="64"/>
    <tableColumn id="7" name="unit qty" dataDxfId="63"/>
    <tableColumn id="8" name="UOM" dataDxfId="62"/>
    <tableColumn id="9" name="Unit cost" dataDxfId="61"/>
    <tableColumn id="10" name="Budget amount" dataDxfId="60"/>
    <tableColumn id="11" name="Note" dataDxfId="5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I96"/>
  <sheetViews>
    <sheetView view="pageBreakPreview" zoomScaleNormal="100" zoomScaleSheetLayoutView="100" workbookViewId="0">
      <selection activeCell="C17" sqref="C17"/>
    </sheetView>
  </sheetViews>
  <sheetFormatPr baseColWidth="8" defaultColWidth="9" defaultRowHeight="12.75" outlineLevelRow="1"/>
  <cols>
    <col width="2.125" customWidth="1" style="10" min="1" max="2"/>
    <col width="28.125" customWidth="1" style="10" min="3" max="8"/>
    <col width="9" customWidth="1" style="10" min="9" max="16384"/>
  </cols>
  <sheetData>
    <row r="6">
      <c r="B6" s="7" t="n"/>
      <c r="C6" s="8" t="inlineStr">
        <is>
          <t>FASE</t>
        </is>
      </c>
      <c r="D6" s="8" t="inlineStr">
        <is>
          <t>TYPE STANDAARD / BENAMING</t>
        </is>
      </c>
      <c r="E6" s="9" t="inlineStr">
        <is>
          <t>NAUWKEURIGHEID</t>
        </is>
      </c>
      <c r="F6" s="9" t="inlineStr">
        <is>
          <t>TOELICHTING</t>
        </is>
      </c>
      <c r="G6" s="9" t="inlineStr">
        <is>
          <t>OPMERKINGEN</t>
        </is>
      </c>
      <c r="H6" s="9" t="n"/>
    </row>
    <row r="7" outlineLevel="1">
      <c r="B7" s="11" t="n"/>
      <c r="C7" s="12" t="inlineStr">
        <is>
          <t xml:space="preserve">Initiatief / Definitie </t>
        </is>
      </c>
      <c r="D7" s="12" t="inlineStr">
        <is>
          <t>Budgetindicatie (van-tot)</t>
        </is>
      </c>
      <c r="E7" s="13" t="inlineStr">
        <is>
          <t>Grote kengetallen</t>
        </is>
      </c>
      <c r="F7" s="13" t="inlineStr">
        <is>
          <t>Minimaal v.s. Maximaal</t>
        </is>
      </c>
      <c r="G7" s="13" t="inlineStr">
        <is>
          <t>Afronden 1000,-</t>
        </is>
      </c>
      <c r="H7" s="14" t="inlineStr">
        <is>
          <t>min-max</t>
        </is>
      </c>
    </row>
    <row r="8" outlineLevel="1">
      <c r="B8" s="12" t="n"/>
      <c r="C8" s="12" t="inlineStr">
        <is>
          <t>SO - VO</t>
        </is>
      </c>
      <c r="D8" s="12" t="inlineStr">
        <is>
          <t>Indicatieve kostenraming</t>
        </is>
      </c>
      <c r="E8" s="13" t="inlineStr">
        <is>
          <t>Kengetallen o.b.v. eenheden</t>
        </is>
      </c>
      <c r="F8" s="13" t="n"/>
      <c r="G8" s="13" t="inlineStr">
        <is>
          <t>Afronden 100,-</t>
        </is>
      </c>
      <c r="H8" s="15" t="inlineStr">
        <is>
          <t>+/- 5-10%</t>
        </is>
      </c>
    </row>
    <row r="9" outlineLevel="1">
      <c r="B9" s="16" t="n"/>
      <c r="C9" s="16" t="inlineStr">
        <is>
          <t>Definitief Ontwerp / VO+</t>
        </is>
      </c>
      <c r="D9" s="16" t="inlineStr">
        <is>
          <t>Kostencalculatie</t>
        </is>
      </c>
      <c r="E9" s="17" t="inlineStr">
        <is>
          <t>Offertes o.a.</t>
        </is>
      </c>
      <c r="F9" s="17" t="n"/>
      <c r="G9" s="17" t="inlineStr">
        <is>
          <t>Afronden 10/1,-</t>
        </is>
      </c>
      <c r="H9" s="17" t="inlineStr">
        <is>
          <t>offerte</t>
        </is>
      </c>
    </row>
    <row r="12">
      <c r="B12" s="7" t="n"/>
      <c r="C12" s="425" t="inlineStr">
        <is>
          <t>STAPPENPLAN</t>
        </is>
      </c>
      <c r="D12" s="426" t="n"/>
      <c r="E12" s="426" t="n"/>
      <c r="F12" s="426" t="n"/>
      <c r="G12" s="426" t="n"/>
      <c r="H12" s="427" t="n"/>
    </row>
    <row r="13" outlineLevel="1">
      <c r="B13" s="19" t="n">
        <v>1</v>
      </c>
      <c r="C13" s="20" t="inlineStr">
        <is>
          <t>Vul in tabblad "1|Voorblad" de gegevens handmatig in.</t>
        </is>
      </c>
      <c r="D13" s="21" t="n"/>
      <c r="E13" s="21" t="n"/>
      <c r="F13" s="21" t="n"/>
      <c r="G13" s="21" t="n"/>
      <c r="H13" s="14" t="n"/>
    </row>
    <row r="14" outlineLevel="1">
      <c r="B14" s="22" t="n">
        <v>2</v>
      </c>
      <c r="C14" s="23" t="inlineStr">
        <is>
          <t xml:space="preserve">Vul in tabblad "2|Totaalblad" de projectgegevens in. </t>
        </is>
      </c>
      <c r="H14" s="13" t="n"/>
    </row>
    <row r="15" outlineLevel="1">
      <c r="B15" s="22" t="n">
        <v>3</v>
      </c>
      <c r="C15" s="23" t="inlineStr">
        <is>
          <t xml:space="preserve">Vul in tabblad "3|Totaalblad" het onderdeel 45000 Algemeen in. </t>
        </is>
      </c>
      <c r="H15" s="13" t="n"/>
    </row>
    <row r="16" outlineLevel="1">
      <c r="B16" s="22" t="n">
        <v>4</v>
      </c>
      <c r="C16" s="23" t="inlineStr">
        <is>
          <t>…</t>
        </is>
      </c>
      <c r="H16" s="13" t="n"/>
    </row>
    <row r="17" outlineLevel="1">
      <c r="B17" s="22" t="n">
        <v>5</v>
      </c>
      <c r="C17" s="23" t="inlineStr">
        <is>
          <t>…</t>
        </is>
      </c>
      <c r="H17" s="13" t="n"/>
    </row>
    <row r="18" outlineLevel="1">
      <c r="B18" s="22" t="n">
        <v>6</v>
      </c>
      <c r="C18" s="23" t="inlineStr">
        <is>
          <t>…</t>
        </is>
      </c>
      <c r="H18" s="13" t="n"/>
    </row>
    <row r="19" outlineLevel="1">
      <c r="B19" s="22" t="n">
        <v>7</v>
      </c>
      <c r="C19" s="23" t="inlineStr">
        <is>
          <t>…</t>
        </is>
      </c>
      <c r="H19" s="13" t="n"/>
    </row>
    <row r="20" outlineLevel="1">
      <c r="B20" s="24" t="n">
        <v>8</v>
      </c>
      <c r="C20" s="25" t="inlineStr">
        <is>
          <t>…</t>
        </is>
      </c>
      <c r="D20" s="26" t="n"/>
      <c r="E20" s="26" t="n"/>
      <c r="F20" s="26" t="n"/>
      <c r="G20" s="26" t="n"/>
      <c r="H20" s="17" t="n"/>
    </row>
    <row r="21">
      <c r="B21" s="27" t="n"/>
      <c r="C21" s="27" t="n"/>
    </row>
    <row r="23">
      <c r="B23" s="7" t="n"/>
      <c r="C23" s="425" t="inlineStr">
        <is>
          <t>HANDIGHEIDJES</t>
        </is>
      </c>
      <c r="D23" s="426" t="n"/>
      <c r="E23" s="426" t="n"/>
      <c r="F23" s="426" t="n"/>
      <c r="G23" s="426" t="n"/>
      <c r="H23" s="427" t="n"/>
      <c r="I23" s="28" t="n"/>
    </row>
    <row r="24" outlineLevel="1">
      <c r="B24" s="11" t="n"/>
      <c r="C24" s="29" t="inlineStr">
        <is>
          <t>Rechtsbovenin staat het totaalbedrag van de raming/begroting.</t>
        </is>
      </c>
      <c r="D24" s="21" t="n"/>
      <c r="E24" s="21" t="n"/>
      <c r="F24" s="21" t="n"/>
      <c r="G24" s="21" t="n"/>
      <c r="H24" s="14" t="n"/>
    </row>
    <row r="25" outlineLevel="1">
      <c r="B25" s="12" t="n"/>
      <c r="C25" s="28" t="inlineStr">
        <is>
          <t xml:space="preserve">Gebruik meetstaten om het jezelf makkelijk te maken! --&gt; zie kopje 'meetstaten' voor toelichting. </t>
        </is>
      </c>
      <c r="H25" s="13" t="n"/>
    </row>
    <row r="26" outlineLevel="1">
      <c r="B26" s="12" t="n"/>
      <c r="C26" s="28" t="inlineStr">
        <is>
          <t>Maak gebruik van kengetallen.</t>
        </is>
      </c>
      <c r="H26" s="13" t="n"/>
    </row>
    <row r="27" outlineLevel="1">
      <c r="B27" s="16" t="n"/>
      <c r="C27" s="30" t="inlineStr">
        <is>
          <t xml:space="preserve">Meerdere tabbladen in één keer printen --&gt; uitleg (gebruik van control). </t>
        </is>
      </c>
      <c r="D27" s="26" t="n"/>
      <c r="E27" s="26" t="n"/>
      <c r="F27" s="26" t="n"/>
      <c r="G27" s="26" t="n"/>
      <c r="H27" s="17" t="n"/>
    </row>
    <row r="30">
      <c r="B30" s="7" t="n"/>
      <c r="C30" s="425" t="inlineStr">
        <is>
          <t>BELANGRIJKE REGELS</t>
        </is>
      </c>
      <c r="D30" s="426" t="n"/>
      <c r="E30" s="426" t="n"/>
      <c r="F30" s="426" t="n"/>
      <c r="G30" s="426" t="n"/>
      <c r="H30" s="427" t="n"/>
    </row>
    <row r="31" outlineLevel="1">
      <c r="B31" s="19" t="n">
        <v>1</v>
      </c>
      <c r="C31" s="29" t="inlineStr">
        <is>
          <t>Notatie wat je laat zien aan opdrachtgever.</t>
        </is>
      </c>
      <c r="D31" s="21" t="n"/>
      <c r="E31" s="21" t="n"/>
      <c r="F31" s="21" t="n"/>
      <c r="G31" s="21" t="n"/>
      <c r="H31" s="14" t="n"/>
    </row>
    <row r="32" outlineLevel="1">
      <c r="B32" s="12" t="n"/>
      <c r="C32" s="28" t="n"/>
      <c r="H32" s="13" t="n"/>
    </row>
    <row r="33" outlineLevel="1">
      <c r="B33" s="12" t="n"/>
      <c r="C33" s="28" t="n"/>
      <c r="H33" s="13" t="n"/>
    </row>
    <row r="34" outlineLevel="1">
      <c r="B34" s="12" t="n"/>
      <c r="C34" s="28" t="n"/>
      <c r="H34" s="13" t="n"/>
    </row>
    <row r="35" outlineLevel="1">
      <c r="B35" s="12" t="n"/>
      <c r="C35" s="28" t="n"/>
      <c r="H35" s="13" t="n"/>
    </row>
    <row r="36" outlineLevel="1">
      <c r="B36" s="12" t="n"/>
      <c r="C36" s="28" t="n"/>
      <c r="H36" s="13" t="n"/>
    </row>
    <row r="37" outlineLevel="1">
      <c r="B37" s="12" t="n"/>
      <c r="C37" s="28" t="n"/>
      <c r="H37" s="13" t="n"/>
    </row>
    <row r="38" outlineLevel="1">
      <c r="B38" s="12" t="n"/>
      <c r="C38" s="28" t="n"/>
      <c r="H38" s="13" t="n"/>
    </row>
    <row r="39" outlineLevel="1">
      <c r="B39" s="12" t="n"/>
      <c r="C39" s="31" t="inlineStr">
        <is>
          <t xml:space="preserve">--&gt; Deze manier laat (zeker in eerste raming) te hoge nauwkeurigheid zien. </t>
        </is>
      </c>
      <c r="H39" s="13" t="n"/>
    </row>
    <row r="40" outlineLevel="1">
      <c r="B40" s="12" t="n"/>
      <c r="C40" s="31" t="inlineStr">
        <is>
          <t xml:space="preserve">--&gt; Notatie op posten verminderd de kans dat opdrachtgever zelf zaken gaat verrekenen. </t>
        </is>
      </c>
      <c r="H40" s="13" t="n"/>
    </row>
    <row r="41" outlineLevel="1">
      <c r="B41" s="12" t="n"/>
      <c r="C41" s="28" t="n"/>
      <c r="H41" s="13" t="n"/>
    </row>
    <row r="42" outlineLevel="1">
      <c r="B42" s="12" t="n"/>
      <c r="C42" s="28" t="n"/>
      <c r="H42" s="13" t="n"/>
    </row>
    <row r="43" outlineLevel="1">
      <c r="B43" s="12" t="n">
        <v>2</v>
      </c>
      <c r="C43" s="28" t="inlineStr">
        <is>
          <t>Totaalblad:</t>
        </is>
      </c>
      <c r="H43" s="13" t="n"/>
    </row>
    <row r="44" outlineLevel="1">
      <c r="B44" s="12" t="n"/>
      <c r="C44" s="31" t="inlineStr">
        <is>
          <t xml:space="preserve">- Cijfers worden zwart wanneer er een bedrag in de begroting wordt ingevuld. </t>
        </is>
      </c>
      <c r="H44" s="13" t="n"/>
    </row>
    <row r="45" outlineLevel="1">
      <c r="B45" s="12" t="n"/>
      <c r="C45" s="28" t="n"/>
      <c r="H45" s="13" t="n"/>
    </row>
    <row r="46" outlineLevel="1">
      <c r="B46" s="12" t="n"/>
      <c r="C46" s="28" t="n"/>
      <c r="H46" s="13" t="n"/>
    </row>
    <row r="47" outlineLevel="1">
      <c r="B47" s="12" t="n"/>
      <c r="C47" s="28" t="n"/>
      <c r="H47" s="13" t="n"/>
    </row>
    <row r="48" outlineLevel="1">
      <c r="B48" s="12" t="n"/>
      <c r="C48" s="28" t="n"/>
      <c r="H48" s="13" t="n"/>
    </row>
    <row r="49" outlineLevel="1">
      <c r="B49" s="12" t="n"/>
      <c r="C49" s="28" t="n"/>
      <c r="H49" s="13" t="n"/>
    </row>
    <row r="50" outlineLevel="1">
      <c r="B50" s="16" t="n"/>
      <c r="C50" s="30" t="n"/>
      <c r="D50" s="26" t="n"/>
      <c r="E50" s="26" t="n"/>
      <c r="F50" s="26" t="n"/>
      <c r="G50" s="26" t="n"/>
      <c r="H50" s="17" t="n"/>
    </row>
    <row r="53">
      <c r="B53" s="7" t="n"/>
      <c r="C53" s="425" t="inlineStr">
        <is>
          <t>HULP BIJ AFRONDEN IN RAMING</t>
        </is>
      </c>
      <c r="D53" s="426" t="n"/>
      <c r="E53" s="426" t="n"/>
      <c r="F53" s="426" t="n"/>
      <c r="G53" s="426" t="n"/>
      <c r="H53" s="427" t="n"/>
    </row>
    <row r="54" outlineLevel="1">
      <c r="B54" s="11" t="n"/>
      <c r="C54" s="29" t="n"/>
      <c r="D54" s="21" t="n"/>
      <c r="E54" s="21" t="n"/>
      <c r="F54" s="21" t="n"/>
      <c r="G54" s="21" t="n"/>
      <c r="H54" s="14" t="n"/>
    </row>
    <row r="55" outlineLevel="1">
      <c r="B55" s="12" t="n"/>
      <c r="C55" s="28" t="n"/>
      <c r="H55" s="13" t="n"/>
    </row>
    <row r="56" outlineLevel="1">
      <c r="B56" s="12" t="n"/>
      <c r="C56" s="28" t="n"/>
      <c r="H56" s="13" t="n"/>
    </row>
    <row r="57" outlineLevel="1">
      <c r="B57" s="12" t="n"/>
      <c r="C57" s="28" t="n"/>
      <c r="H57" s="13" t="n"/>
    </row>
    <row r="58" outlineLevel="1">
      <c r="B58" s="12" t="n"/>
      <c r="C58" s="28" t="n"/>
      <c r="H58" s="13" t="n"/>
    </row>
    <row r="59" outlineLevel="1">
      <c r="B59" s="12" t="n"/>
      <c r="C59" s="28" t="n"/>
      <c r="H59" s="13" t="n"/>
    </row>
    <row r="60" outlineLevel="1">
      <c r="B60" s="12" t="n"/>
      <c r="C60" s="28" t="n"/>
      <c r="H60" s="13" t="n"/>
    </row>
    <row r="61" outlineLevel="1">
      <c r="B61" s="12" t="n"/>
      <c r="C61" s="28" t="n"/>
      <c r="H61" s="13" t="n"/>
    </row>
    <row r="62" outlineLevel="1">
      <c r="B62" s="12" t="n"/>
      <c r="C62" s="28" t="n"/>
      <c r="H62" s="13" t="n"/>
    </row>
    <row r="63" outlineLevel="1">
      <c r="B63" s="12" t="n"/>
      <c r="C63" s="28" t="n"/>
      <c r="H63" s="13" t="n"/>
    </row>
    <row r="64" outlineLevel="1">
      <c r="B64" s="12" t="n"/>
      <c r="C64" s="28" t="n"/>
      <c r="H64" s="13" t="n"/>
    </row>
    <row r="65" outlineLevel="1">
      <c r="B65" s="12" t="n"/>
      <c r="C65" s="28" t="n"/>
      <c r="H65" s="13" t="n"/>
    </row>
    <row r="66" outlineLevel="1">
      <c r="B66" s="12" t="n"/>
      <c r="C66" s="28" t="n"/>
      <c r="H66" s="13" t="n"/>
    </row>
    <row r="67" outlineLevel="1">
      <c r="B67" s="12" t="n"/>
      <c r="C67" s="28" t="n"/>
      <c r="H67" s="13" t="n"/>
    </row>
    <row r="68" outlineLevel="1">
      <c r="B68" s="12" t="n"/>
      <c r="C68" s="28" t="n"/>
      <c r="H68" s="13" t="n"/>
    </row>
    <row r="69" outlineLevel="1">
      <c r="B69" s="12" t="n"/>
      <c r="C69" s="28" t="n"/>
      <c r="H69" s="13" t="n"/>
    </row>
    <row r="70" outlineLevel="1">
      <c r="B70" s="12" t="n"/>
      <c r="C70" s="28" t="n"/>
      <c r="H70" s="13" t="n"/>
    </row>
    <row r="71" outlineLevel="1">
      <c r="B71" s="12" t="n"/>
      <c r="C71" s="28" t="n"/>
      <c r="H71" s="13" t="n"/>
    </row>
    <row r="72" outlineLevel="1">
      <c r="B72" s="12" t="n"/>
      <c r="C72" s="28" t="n"/>
      <c r="H72" s="13" t="n"/>
    </row>
    <row r="73" outlineLevel="1">
      <c r="B73" s="12" t="n"/>
      <c r="C73" s="28" t="n"/>
      <c r="H73" s="13" t="n"/>
    </row>
    <row r="74" outlineLevel="1">
      <c r="B74" s="16" t="n"/>
      <c r="C74" s="30" t="n"/>
      <c r="D74" s="26" t="n"/>
      <c r="E74" s="26" t="n"/>
      <c r="F74" s="26" t="n"/>
      <c r="G74" s="26" t="n"/>
      <c r="H74" s="17" t="n"/>
    </row>
    <row r="77">
      <c r="B77" s="7" t="n"/>
      <c r="C77" s="385" t="inlineStr">
        <is>
          <t>KENGETALLEN - N.T.B.</t>
        </is>
      </c>
      <c r="D77" s="32" t="n"/>
      <c r="E77" s="32" t="n"/>
      <c r="F77" s="32" t="n"/>
      <c r="G77" s="32" t="n"/>
      <c r="H77" s="33" t="n"/>
    </row>
    <row r="78" hidden="1" outlineLevel="1">
      <c r="B78" s="11" t="n"/>
      <c r="C78" s="29" t="inlineStr">
        <is>
          <t xml:space="preserve">N.T.B. </t>
        </is>
      </c>
      <c r="D78" s="21" t="n"/>
      <c r="E78" s="21" t="n"/>
      <c r="F78" s="21" t="n"/>
      <c r="G78" s="21" t="n"/>
      <c r="H78" s="14" t="n"/>
    </row>
    <row r="79" hidden="1" outlineLevel="1">
      <c r="B79" s="12" t="n"/>
      <c r="C79" s="28" t="n"/>
      <c r="H79" s="13" t="n"/>
    </row>
    <row r="80" hidden="1" outlineLevel="1">
      <c r="B80" s="12" t="n"/>
      <c r="C80" s="28" t="n"/>
      <c r="H80" s="13" t="n"/>
    </row>
    <row r="81" hidden="1" outlineLevel="1">
      <c r="B81" s="12" t="n"/>
      <c r="C81" s="28" t="n"/>
      <c r="H81" s="13" t="n"/>
    </row>
    <row r="82" hidden="1" outlineLevel="1">
      <c r="B82" s="12" t="n"/>
      <c r="C82" s="28" t="n"/>
      <c r="H82" s="13" t="n"/>
    </row>
    <row r="83" hidden="1" outlineLevel="1">
      <c r="B83" s="12" t="n"/>
      <c r="C83" s="28" t="n"/>
      <c r="H83" s="13" t="n"/>
    </row>
    <row r="84" hidden="1" outlineLevel="1">
      <c r="B84" s="12" t="n"/>
      <c r="C84" s="28" t="n"/>
      <c r="H84" s="13" t="n"/>
    </row>
    <row r="85" hidden="1" outlineLevel="1">
      <c r="B85" s="12" t="n"/>
      <c r="C85" s="28" t="n"/>
      <c r="H85" s="13" t="n"/>
    </row>
    <row r="86" hidden="1" outlineLevel="1">
      <c r="B86" s="12" t="n"/>
      <c r="C86" s="28" t="n"/>
      <c r="H86" s="13" t="n"/>
    </row>
    <row r="87" hidden="1" outlineLevel="1">
      <c r="B87" s="12" t="n"/>
      <c r="C87" s="28" t="n"/>
      <c r="H87" s="13" t="n"/>
    </row>
    <row r="88" hidden="1" outlineLevel="1">
      <c r="B88" s="12" t="n"/>
      <c r="C88" s="28" t="n"/>
      <c r="H88" s="13" t="n"/>
    </row>
    <row r="89" hidden="1" outlineLevel="1">
      <c r="B89" s="12" t="n"/>
      <c r="C89" s="28" t="n"/>
      <c r="H89" s="13" t="n"/>
    </row>
    <row r="90" hidden="1" outlineLevel="1">
      <c r="B90" s="12" t="n"/>
      <c r="C90" s="28" t="n"/>
      <c r="H90" s="13" t="n"/>
    </row>
    <row r="91" hidden="1" outlineLevel="1">
      <c r="B91" s="12" t="n"/>
      <c r="C91" s="28" t="n"/>
      <c r="H91" s="13" t="n"/>
    </row>
    <row r="92" hidden="1" outlineLevel="1">
      <c r="B92" s="12" t="n"/>
      <c r="C92" s="28" t="n"/>
      <c r="H92" s="13" t="n"/>
    </row>
    <row r="93" hidden="1" outlineLevel="1">
      <c r="B93" s="12" t="n"/>
      <c r="C93" s="28" t="n"/>
      <c r="H93" s="13" t="n"/>
    </row>
    <row r="94" hidden="1" outlineLevel="1">
      <c r="B94" s="12" t="n"/>
      <c r="C94" s="28" t="n"/>
      <c r="H94" s="13" t="n"/>
    </row>
    <row r="95" hidden="1" outlineLevel="1">
      <c r="B95" s="12" t="n"/>
      <c r="C95" s="28" t="n"/>
      <c r="H95" s="13" t="n"/>
    </row>
    <row r="96" hidden="1" outlineLevel="1">
      <c r="B96" s="16" t="n"/>
      <c r="C96" s="30" t="n"/>
      <c r="D96" s="26" t="n"/>
      <c r="E96" s="26" t="n"/>
      <c r="F96" s="26" t="n"/>
      <c r="G96" s="26" t="n"/>
      <c r="H96" s="17" t="n"/>
    </row>
    <row r="97" collapsed="1"/>
  </sheetData>
  <mergeCells count="4">
    <mergeCell ref="C12:H12"/>
    <mergeCell ref="C53:H53"/>
    <mergeCell ref="C30:H30"/>
    <mergeCell ref="C23:H23"/>
  </mergeCells>
  <pageMargins left="0.7" right="0.7" top="0.75" bottom="0.75" header="0.3" footer="0.3"/>
  <pageSetup orientation="portrait" paperSize="9" scale="47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C18:G25"/>
  <sheetViews>
    <sheetView view="pageBreakPreview" zoomScale="130" zoomScaleNormal="80" zoomScaleSheetLayoutView="130" zoomScalePageLayoutView="130" workbookViewId="0">
      <selection activeCell="C2" sqref="C2"/>
    </sheetView>
  </sheetViews>
  <sheetFormatPr baseColWidth="8" defaultRowHeight="11.25"/>
  <cols>
    <col width="27" customWidth="1" min="5" max="5"/>
  </cols>
  <sheetData>
    <row r="18" ht="12" customHeight="1">
      <c r="E18" s="1" t="n"/>
    </row>
    <row r="21" ht="30" customHeight="1">
      <c r="D21" s="2" t="n"/>
      <c r="E21" s="6">
        <f>'2 | Basic principles'!C7</f>
        <v/>
      </c>
      <c r="F21" s="2" t="n"/>
      <c r="G21" s="2" t="n"/>
    </row>
    <row r="22" ht="12" customHeight="1">
      <c r="D22" s="1" t="n"/>
      <c r="F22" s="1" t="n"/>
      <c r="G22" s="1" t="n"/>
    </row>
    <row r="23" ht="15" customHeight="1">
      <c r="C23" s="1" t="n"/>
      <c r="D23" s="1" t="n"/>
      <c r="E23" s="428">
        <f>'2 | Basic principles'!C8</f>
        <v/>
      </c>
      <c r="G23" s="1" t="n"/>
    </row>
    <row r="24" ht="12.75" customHeight="1">
      <c r="E24" s="429">
        <f>'2 | Basic principles'!C9</f>
        <v/>
      </c>
      <c r="G24" t="inlineStr">
        <is>
          <t> </t>
        </is>
      </c>
    </row>
    <row r="25" ht="15" customHeight="1">
      <c r="E25" s="5">
        <f>'2 | Basic principles'!F9</f>
        <v/>
      </c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GIfcqGHwwSzmVB5+QSli4w==" formatRows="1" sort="1" spinCount="100000" hashValue="sgvRzSp2lQkz43bwSH+vedruEH4DCKhipVJyKKqtR1XuIyf47ytKPgX+ywcKnkOR89t6iy++sxfur+CxqZ5E5A==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7:J368"/>
  <sheetViews>
    <sheetView view="pageBreakPreview" zoomScaleNormal="100" zoomScaleSheetLayoutView="100" workbookViewId="0">
      <pane ySplit="13" topLeftCell="A14" activePane="bottomLeft" state="frozen"/>
      <selection activeCell="C2" sqref="C2"/>
      <selection pane="bottomLeft" activeCell="F19" sqref="F19"/>
    </sheetView>
  </sheetViews>
  <sheetFormatPr baseColWidth="8" defaultColWidth="8.75" defaultRowHeight="12.75" outlineLevelRow="1"/>
  <cols>
    <col width="4.75" customWidth="1" style="38" min="1" max="1"/>
    <col width="3.625" customWidth="1" style="38" min="2" max="2"/>
    <col width="72.75" customWidth="1" style="38" min="3" max="3"/>
    <col width="8.125" customWidth="1" style="38" min="4" max="4"/>
    <col width="8.625" customWidth="1" style="38" min="5" max="5"/>
    <col width="10.75" customWidth="1" style="38" min="6" max="6"/>
    <col width="15.125" customWidth="1" style="38" min="7" max="7"/>
    <col width="1" customWidth="1" style="38" min="8" max="8"/>
    <col width="2.375" customWidth="1" style="38" min="9" max="9"/>
    <col width="8.75" customWidth="1" style="38" min="10" max="10"/>
    <col width="1" customWidth="1" style="38" min="11" max="11"/>
    <col width="8.75" customWidth="1" style="38" min="12" max="16384"/>
  </cols>
  <sheetData>
    <row r="7" ht="24.75" customHeight="1">
      <c r="A7" s="430" t="inlineStr">
        <is>
          <t>PROJECT</t>
        </is>
      </c>
      <c r="B7" s="35" t="n"/>
      <c r="C7" s="369" t="inlineStr">
        <is>
          <t>[PROJECTNAAM]</t>
        </is>
      </c>
      <c r="D7" s="36" t="n"/>
      <c r="E7" s="36" t="n"/>
      <c r="F7" s="36" t="n"/>
      <c r="G7" s="36" t="n"/>
      <c r="H7" s="37" t="n"/>
    </row>
    <row r="8" ht="24.75" customHeight="1">
      <c r="A8" s="431" t="n"/>
      <c r="B8" s="39" t="n"/>
      <c r="C8" s="37" t="inlineStr">
        <is>
          <t>Inkoopoverzicht leveranciers (offertes &amp; opdrachten)</t>
        </is>
      </c>
      <c r="D8" s="403" t="inlineStr">
        <is>
          <t>DATE</t>
        </is>
      </c>
      <c r="E8" s="38" t="inlineStr">
        <is>
          <t>Line-up</t>
        </is>
      </c>
      <c r="F8" s="40" t="n">
        <v>46186</v>
      </c>
      <c r="G8" s="40" t="n"/>
      <c r="H8" s="41" t="n"/>
    </row>
    <row r="9" ht="24.75" customHeight="1">
      <c r="A9" s="432" t="n"/>
      <c r="B9" s="42" t="n"/>
      <c r="C9" s="370" t="inlineStr">
        <is>
          <t>Versie 001</t>
        </is>
      </c>
      <c r="D9" s="433" t="n"/>
      <c r="E9" s="43" t="inlineStr">
        <is>
          <t>Change</t>
        </is>
      </c>
      <c r="F9" s="40" t="n">
        <v>46186</v>
      </c>
      <c r="G9" s="44" t="n"/>
      <c r="H9" s="45" t="n"/>
    </row>
    <row r="10" ht="3.75" customHeight="1"/>
    <row r="11">
      <c r="A11" s="73" t="inlineStr">
        <is>
          <t>Code</t>
        </is>
      </c>
      <c r="B11" s="74" t="inlineStr">
        <is>
          <t>Description</t>
        </is>
      </c>
      <c r="C11" s="74" t="n"/>
      <c r="D11" s="75" t="n"/>
      <c r="E11" s="75" t="n"/>
      <c r="F11" s="75" t="n"/>
      <c r="G11" s="75" t="n"/>
      <c r="H11" s="76" t="n"/>
    </row>
    <row r="12" ht="3.75" customHeight="1">
      <c r="A12" s="77" t="n"/>
      <c r="B12" s="78" t="n"/>
      <c r="C12" s="79" t="n"/>
      <c r="D12" s="78" t="n"/>
      <c r="E12" s="78" t="n"/>
      <c r="F12" s="78" t="n"/>
      <c r="G12" s="78" t="n"/>
      <c r="H12" s="80" t="n"/>
    </row>
    <row r="13" ht="4.35" customHeight="1">
      <c r="C13" s="46" t="n"/>
    </row>
    <row r="14" ht="11.45" customHeight="1">
      <c r="A14" s="69" t="inlineStr">
        <is>
          <t>000</t>
        </is>
      </c>
      <c r="B14" s="70" t="inlineStr">
        <is>
          <t>GENERAL</t>
        </is>
      </c>
      <c r="C14" s="71" t="n"/>
      <c r="D14" s="71" t="n"/>
      <c r="E14" s="71" t="n"/>
      <c r="F14" s="71" t="n"/>
      <c r="G14" s="71" t="n"/>
      <c r="H14" s="72" t="n"/>
    </row>
    <row r="15" ht="5.1" customHeight="1">
      <c r="A15" s="47" t="n"/>
      <c r="B15" s="48" t="n"/>
      <c r="C15" s="48" t="n"/>
      <c r="D15" s="48" t="n"/>
      <c r="E15" s="48" t="n"/>
      <c r="F15" s="48" t="n"/>
      <c r="G15" s="48" t="n"/>
      <c r="H15" s="48" t="n"/>
    </row>
    <row r="16" ht="11.45" customHeight="1">
      <c r="A16" s="434" t="inlineStr">
        <is>
          <t>010</t>
        </is>
      </c>
      <c r="B16" s="81" t="inlineStr">
        <is>
          <t>PROJECT DETAILS</t>
        </is>
      </c>
      <c r="C16" s="81" t="n"/>
      <c r="D16" s="81" t="n"/>
      <c r="E16" s="81" t="n"/>
      <c r="F16" s="81" t="n"/>
      <c r="G16" s="81" t="n"/>
      <c r="H16" s="82" t="n"/>
    </row>
    <row r="17" outlineLevel="1">
      <c r="A17" s="435" t="n"/>
      <c r="B17" s="50" t="inlineStr">
        <is>
          <t>*</t>
        </is>
      </c>
      <c r="C17" s="398" t="inlineStr">
        <is>
          <t>Client's contact details</t>
        </is>
      </c>
      <c r="D17" s="52" t="n"/>
      <c r="E17" s="52" t="n"/>
      <c r="F17" s="436" t="n"/>
      <c r="G17" s="436" t="n"/>
      <c r="H17" s="41" t="n"/>
    </row>
    <row r="18" outlineLevel="1">
      <c r="A18" s="435" t="n"/>
      <c r="B18" s="50" t="inlineStr">
        <is>
          <t>*</t>
        </is>
      </c>
      <c r="C18" s="398" t="inlineStr">
        <is>
          <t>Construction site address</t>
        </is>
      </c>
      <c r="D18" s="52" t="n"/>
      <c r="E18" s="52" t="n"/>
      <c r="F18" s="436" t="n"/>
      <c r="G18" s="436" t="n"/>
      <c r="H18" s="41" t="n"/>
    </row>
    <row r="19" outlineLevel="1">
      <c r="A19" s="437" t="n"/>
      <c r="B19" s="50" t="inlineStr">
        <is>
          <t>*</t>
        </is>
      </c>
      <c r="C19" s="398" t="inlineStr">
        <is>
          <t>Brief description of the work</t>
        </is>
      </c>
      <c r="D19" s="52" t="n"/>
      <c r="E19" s="52" t="n"/>
      <c r="F19" s="436" t="n"/>
      <c r="G19" s="436" t="n"/>
      <c r="H19" s="41" t="n"/>
    </row>
    <row r="20">
      <c r="H20" s="46" t="n"/>
    </row>
    <row r="22">
      <c r="A22" s="434" t="inlineStr">
        <is>
          <t>020</t>
        </is>
      </c>
      <c r="B22" s="81" t="inlineStr">
        <is>
          <t xml:space="preserve">DIMENSIONS </t>
        </is>
      </c>
      <c r="C22" s="81" t="n"/>
      <c r="D22" s="81" t="n"/>
      <c r="E22" s="81" t="n"/>
      <c r="F22" s="81" t="n"/>
      <c r="G22" s="81" t="n"/>
      <c r="H22" s="82" t="n"/>
    </row>
    <row r="23" outlineLevel="1">
      <c r="A23" s="435" t="n"/>
      <c r="B23" s="50" t="n"/>
      <c r="C23" s="398" t="inlineStr">
        <is>
          <t>Ground floor</t>
        </is>
      </c>
      <c r="D23" s="52" t="inlineStr">
        <is>
          <t>m²</t>
        </is>
      </c>
      <c r="E23" s="54" t="n">
        <v>0</v>
      </c>
      <c r="F23" s="436" t="n"/>
      <c r="G23" s="436" t="n"/>
      <c r="H23" s="41" t="n"/>
      <c r="J23" s="55" t="n"/>
    </row>
    <row r="24" outlineLevel="1">
      <c r="A24" s="435" t="n"/>
      <c r="B24" s="50" t="n"/>
      <c r="C24" s="398" t="inlineStr">
        <is>
          <t>First floor</t>
        </is>
      </c>
      <c r="D24" s="52" t="inlineStr">
        <is>
          <t>m²</t>
        </is>
      </c>
      <c r="E24" s="54" t="n">
        <v>0</v>
      </c>
      <c r="F24" s="436" t="n"/>
      <c r="G24" s="436" t="n"/>
      <c r="H24" s="41" t="n"/>
    </row>
    <row r="25" outlineLevel="1">
      <c r="A25" s="435" t="n"/>
      <c r="B25" s="50" t="n"/>
      <c r="C25" s="398" t="inlineStr">
        <is>
          <t>Second floor</t>
        </is>
      </c>
      <c r="D25" s="52" t="inlineStr">
        <is>
          <t>m²</t>
        </is>
      </c>
      <c r="E25" s="54" t="n">
        <v>0</v>
      </c>
      <c r="F25" s="436" t="n"/>
      <c r="G25" s="436" t="n"/>
      <c r="H25" s="41" t="n"/>
    </row>
    <row r="26" outlineLevel="1">
      <c r="A26" s="435" t="n"/>
      <c r="B26" s="50" t="n"/>
      <c r="C26" s="398" t="inlineStr">
        <is>
          <t>…</t>
        </is>
      </c>
      <c r="D26" s="52" t="inlineStr">
        <is>
          <t>m²</t>
        </is>
      </c>
      <c r="E26" s="54" t="n">
        <v>0.0001</v>
      </c>
      <c r="F26" s="436" t="n"/>
      <c r="G26" s="436" t="n"/>
      <c r="H26" s="41" t="n"/>
    </row>
    <row r="27" outlineLevel="1">
      <c r="A27" s="437" t="n"/>
      <c r="B27" s="50" t="n"/>
      <c r="C27" s="398" t="inlineStr">
        <is>
          <t>Total</t>
        </is>
      </c>
      <c r="D27" s="56" t="inlineStr">
        <is>
          <t>m²</t>
        </is>
      </c>
      <c r="E27" s="57">
        <f>SUM(E23:E26)</f>
        <v/>
      </c>
      <c r="F27" s="436" t="n"/>
      <c r="G27" s="436" t="n"/>
      <c r="H27" s="41" t="n"/>
    </row>
    <row r="28">
      <c r="G28" s="58" t="n"/>
      <c r="H28" s="438" t="n"/>
    </row>
    <row r="29">
      <c r="G29" s="58" t="n"/>
      <c r="H29" s="438" t="n"/>
    </row>
    <row r="30">
      <c r="A30" s="434" t="inlineStr">
        <is>
          <t>030</t>
        </is>
      </c>
      <c r="B30" s="394" t="inlineStr">
        <is>
          <t>BASIC PRINCIPLES</t>
        </is>
      </c>
      <c r="C30" s="426" t="n"/>
      <c r="D30" s="426" t="n"/>
      <c r="E30" s="426" t="n"/>
      <c r="F30" s="426" t="n"/>
      <c r="G30" s="426" t="n"/>
      <c r="H30" s="427" t="n"/>
    </row>
    <row r="31" outlineLevel="1">
      <c r="A31" s="435" t="n"/>
      <c r="B31" s="50" t="n"/>
      <c r="C31" s="396" t="inlineStr">
        <is>
          <t>Phase documents</t>
        </is>
      </c>
      <c r="D31" s="426" t="n"/>
      <c r="E31" s="426" t="n"/>
      <c r="F31" s="426" t="n"/>
      <c r="G31" s="52" t="inlineStr">
        <is>
          <t> </t>
        </is>
      </c>
      <c r="H31" s="41" t="n"/>
    </row>
    <row r="32" outlineLevel="1">
      <c r="A32" s="435" t="n"/>
      <c r="B32" s="50" t="n"/>
      <c r="C32" s="398" t="inlineStr">
        <is>
          <t>Architect's drawings dated</t>
        </is>
      </c>
      <c r="D32" s="426" t="n"/>
      <c r="E32" s="426" t="n"/>
      <c r="F32" s="426" t="n"/>
      <c r="G32" s="52" t="n"/>
      <c r="H32" s="41" t="n"/>
    </row>
    <row r="33" outlineLevel="1">
      <c r="A33" s="435" t="n"/>
      <c r="B33" s="50" t="n"/>
      <c r="C33" s="398" t="inlineStr">
        <is>
          <t>Report dated</t>
        </is>
      </c>
      <c r="D33" s="426" t="n"/>
      <c r="E33" s="426" t="n"/>
      <c r="F33" s="426" t="n"/>
      <c r="G33" s="52" t="n"/>
      <c r="H33" s="41" t="n"/>
    </row>
    <row r="34" outlineLevel="1">
      <c r="A34" s="435" t="n"/>
      <c r="B34" s="50" t="n"/>
      <c r="C34" s="398" t="inlineStr">
        <is>
          <t>Photos dated</t>
        </is>
      </c>
      <c r="D34" s="398" t="n"/>
      <c r="E34" s="398" t="n"/>
      <c r="F34" s="398" t="n"/>
      <c r="G34" s="52" t="n"/>
      <c r="H34" s="41" t="n"/>
    </row>
    <row r="35" outlineLevel="1">
      <c r="A35" s="435" t="n"/>
      <c r="B35" s="50" t="n"/>
      <c r="C35" s="398" t="inlineStr">
        <is>
          <t>Impressions dated</t>
        </is>
      </c>
      <c r="D35" s="398" t="n"/>
      <c r="E35" s="398" t="n"/>
      <c r="F35" s="398" t="n"/>
      <c r="G35" s="52" t="n"/>
      <c r="H35" s="41" t="n"/>
    </row>
    <row r="36" outlineLevel="1">
      <c r="A36" s="435" t="n"/>
      <c r="B36" s="50" t="n"/>
      <c r="C36" s="398" t="inlineStr">
        <is>
          <t>Presentation dated</t>
        </is>
      </c>
      <c r="D36" s="398" t="n"/>
      <c r="E36" s="398" t="n"/>
      <c r="F36" s="398" t="n"/>
      <c r="G36" s="52" t="n"/>
      <c r="H36" s="41" t="n"/>
    </row>
    <row r="37" outlineLevel="1">
      <c r="A37" s="435" t="n"/>
      <c r="B37" s="50" t="n"/>
      <c r="C37" s="398" t="n"/>
      <c r="D37" s="398" t="n"/>
      <c r="E37" s="398" t="n"/>
      <c r="F37" s="398" t="n"/>
      <c r="G37" s="52" t="n"/>
      <c r="H37" s="41" t="n"/>
    </row>
    <row r="38" outlineLevel="1">
      <c r="A38" s="435" t="n"/>
      <c r="B38" s="50" t="n"/>
      <c r="C38" s="396" t="inlineStr">
        <is>
          <t>Project-specific</t>
        </is>
      </c>
      <c r="D38" s="398" t="n"/>
      <c r="E38" s="398" t="n"/>
      <c r="F38" s="398" t="n"/>
      <c r="G38" s="52" t="n"/>
      <c r="H38" s="41" t="n"/>
    </row>
    <row r="39" outlineLevel="1">
      <c r="A39" s="435" t="n"/>
      <c r="B39" s="50" t="n"/>
      <c r="C39" s="398" t="inlineStr">
        <is>
          <t>Communication with tenants by the client</t>
        </is>
      </c>
      <c r="D39" s="398" t="n"/>
      <c r="E39" s="398" t="n"/>
      <c r="F39" s="398" t="n"/>
      <c r="G39" s="52" t="n"/>
      <c r="H39" s="41" t="n"/>
    </row>
    <row r="40" outlineLevel="1">
      <c r="A40" s="435" t="n"/>
      <c r="B40" s="50" t="n"/>
      <c r="C40" s="398" t="inlineStr">
        <is>
          <t>No loose fixtures and fittings in the transfer of the premises</t>
        </is>
      </c>
      <c r="D40" s="398" t="n"/>
      <c r="E40" s="398" t="n"/>
      <c r="F40" s="398" t="n"/>
      <c r="G40" s="52" t="n"/>
      <c r="H40" s="41" t="n"/>
    </row>
    <row r="41" outlineLevel="1">
      <c r="A41" s="435" t="n"/>
      <c r="B41" s="50" t="n"/>
      <c r="C41" s="398" t="inlineStr">
        <is>
          <t>…</t>
        </is>
      </c>
      <c r="D41" s="398" t="n"/>
      <c r="E41" s="398" t="n"/>
      <c r="F41" s="398" t="n"/>
      <c r="G41" s="52" t="n"/>
      <c r="H41" s="41" t="n"/>
    </row>
    <row r="42" outlineLevel="1">
      <c r="A42" s="435" t="n"/>
      <c r="B42" s="50" t="n"/>
      <c r="C42" s="398" t="inlineStr">
        <is>
          <t>…</t>
        </is>
      </c>
      <c r="D42" s="398" t="n"/>
      <c r="E42" s="398" t="n"/>
      <c r="F42" s="398" t="n"/>
      <c r="G42" s="52" t="n"/>
      <c r="H42" s="41" t="n"/>
    </row>
    <row r="43" outlineLevel="1">
      <c r="A43" s="435" t="n"/>
      <c r="B43" s="50" t="n"/>
      <c r="C43" s="398" t="inlineStr">
        <is>
          <t>…</t>
        </is>
      </c>
      <c r="D43" s="398" t="n"/>
      <c r="E43" s="398" t="n"/>
      <c r="F43" s="398" t="n"/>
      <c r="G43" s="52" t="n"/>
      <c r="H43" s="41" t="n"/>
    </row>
    <row r="44" outlineLevel="1">
      <c r="A44" s="435" t="n"/>
      <c r="B44" s="50" t="n"/>
      <c r="C44" s="398" t="n"/>
      <c r="D44" s="398" t="n"/>
      <c r="E44" s="398" t="n"/>
      <c r="F44" s="398" t="n"/>
      <c r="G44" s="52" t="n"/>
      <c r="H44" s="41" t="n"/>
    </row>
    <row r="45" outlineLevel="1">
      <c r="A45" s="435" t="n"/>
      <c r="B45" s="50" t="n"/>
      <c r="C45" s="396" t="inlineStr">
        <is>
          <t>General</t>
        </is>
      </c>
      <c r="D45" s="398" t="n"/>
      <c r="E45" s="398" t="n"/>
      <c r="F45" s="398" t="n"/>
      <c r="G45" s="52" t="n"/>
      <c r="H45" s="41" t="n"/>
    </row>
    <row r="46" outlineLevel="1">
      <c r="A46" s="435" t="n"/>
      <c r="B46" s="50" t="n"/>
      <c r="C46" s="398" t="inlineStr">
        <is>
          <t>The total amount excludes the costs to be confirmed</t>
        </is>
      </c>
      <c r="D46" s="398" t="n"/>
      <c r="E46" s="398" t="n"/>
      <c r="F46" s="398" t="n"/>
      <c r="G46" s="52" t="n"/>
      <c r="H46" s="41" t="n"/>
    </row>
    <row r="47" outlineLevel="1">
      <c r="A47" s="435" t="n"/>
      <c r="B47" s="50" t="n"/>
      <c r="C47" s="398" t="inlineStr">
        <is>
          <t>Provisional items are settled in the additional and reduced works</t>
        </is>
      </c>
      <c r="D47" s="398" t="n"/>
      <c r="E47" s="398" t="n"/>
      <c r="F47" s="398" t="n"/>
      <c r="G47" s="52" t="n"/>
      <c r="H47" s="41" t="n"/>
    </row>
    <row r="48" outlineLevel="1">
      <c r="A48" s="435" t="n"/>
      <c r="B48" s="50" t="n"/>
      <c r="C48" s="398" t="inlineStr">
        <is>
          <t>The building is asbestos-free</t>
        </is>
      </c>
      <c r="D48" s="398" t="n"/>
      <c r="E48" s="398" t="n"/>
      <c r="F48" s="398" t="n"/>
      <c r="G48" s="52" t="n"/>
      <c r="H48" s="41" t="n"/>
    </row>
    <row r="49" outlineLevel="1">
      <c r="A49" s="435" t="n"/>
      <c r="B49" s="50" t="n"/>
      <c r="C49" s="398" t="inlineStr">
        <is>
          <t>Work in a single continious phase</t>
        </is>
      </c>
      <c r="D49" s="398" t="n"/>
      <c r="E49" s="398" t="n"/>
      <c r="F49" s="398" t="n"/>
      <c r="G49" s="52" t="n"/>
      <c r="H49" s="41" t="n"/>
    </row>
    <row r="50" outlineLevel="1">
      <c r="A50" s="435" t="n"/>
      <c r="B50" s="50" t="n"/>
      <c r="C50" s="398" t="inlineStr">
        <is>
          <t>To be carried out during normal office hours</t>
        </is>
      </c>
      <c r="D50" s="398" t="n"/>
      <c r="E50" s="398" t="n"/>
      <c r="F50" s="398" t="n"/>
      <c r="G50" s="52" t="n"/>
      <c r="H50" s="41" t="n"/>
    </row>
    <row r="51" outlineLevel="1">
      <c r="A51" s="435" t="n"/>
      <c r="B51" s="50" t="n"/>
      <c r="C51" s="398" t="inlineStr">
        <is>
          <t>…</t>
        </is>
      </c>
      <c r="D51" s="398" t="n"/>
      <c r="E51" s="398" t="n"/>
      <c r="F51" s="398" t="n"/>
      <c r="G51" s="52" t="n"/>
      <c r="H51" s="41" t="n"/>
    </row>
    <row r="52" outlineLevel="1">
      <c r="A52" s="435" t="n"/>
      <c r="B52" s="50" t="n"/>
      <c r="C52" s="398" t="inlineStr">
        <is>
          <t>…</t>
        </is>
      </c>
      <c r="D52" s="398" t="n"/>
      <c r="E52" s="398" t="n"/>
      <c r="F52" s="398" t="n"/>
      <c r="G52" s="52" t="n"/>
      <c r="H52" s="41" t="n"/>
    </row>
    <row r="53" outlineLevel="1">
      <c r="A53" s="437" t="n"/>
      <c r="B53" s="50" t="n"/>
      <c r="C53" s="398" t="inlineStr">
        <is>
          <t>…</t>
        </is>
      </c>
      <c r="D53" s="398" t="n"/>
      <c r="E53" s="398" t="n"/>
      <c r="F53" s="398" t="n"/>
      <c r="G53" s="52" t="n"/>
      <c r="H53" s="41" t="n"/>
    </row>
    <row r="54">
      <c r="H54" s="46" t="n"/>
    </row>
    <row r="56">
      <c r="A56" s="434" t="n"/>
      <c r="B56" s="394" t="inlineStr">
        <is>
          <t>EXPLANATION OF THE PHASE</t>
        </is>
      </c>
      <c r="C56" s="426" t="n"/>
      <c r="D56" s="426" t="n"/>
      <c r="E56" s="426" t="n"/>
      <c r="F56" s="426" t="n"/>
      <c r="G56" s="426" t="n"/>
      <c r="H56" s="427" t="n"/>
    </row>
    <row r="57">
      <c r="A57" s="435" t="n"/>
      <c r="B57" s="50" t="n"/>
      <c r="C57" s="395" t="inlineStr">
        <is>
          <t>Indicative cost estimate</t>
        </is>
      </c>
      <c r="D57" s="426" t="n"/>
      <c r="E57" s="426" t="n"/>
      <c r="F57" s="426" t="n"/>
      <c r="G57" s="52" t="n"/>
      <c r="H57" s="41" t="n"/>
    </row>
    <row r="58">
      <c r="A58" s="435" t="n"/>
      <c r="B58" s="50" t="n"/>
      <c r="C58" s="397" t="inlineStr">
        <is>
          <t>…</t>
        </is>
      </c>
      <c r="D58" s="426" t="n"/>
      <c r="E58" s="426" t="n"/>
      <c r="F58" s="426" t="n"/>
      <c r="G58" s="52" t="n"/>
      <c r="H58" s="41" t="n"/>
    </row>
    <row r="59">
      <c r="A59" s="435" t="n"/>
      <c r="B59" s="50" t="n"/>
      <c r="C59" s="397" t="inlineStr">
        <is>
          <t>…</t>
        </is>
      </c>
      <c r="D59" s="398" t="n"/>
      <c r="E59" s="398" t="n"/>
      <c r="F59" s="398" t="n"/>
      <c r="G59" s="52" t="n"/>
      <c r="H59" s="41" t="n"/>
    </row>
    <row r="60">
      <c r="A60" s="435" t="n"/>
      <c r="B60" s="50" t="n"/>
      <c r="C60" s="397" t="inlineStr">
        <is>
          <t>…</t>
        </is>
      </c>
      <c r="D60" s="398" t="n"/>
      <c r="E60" s="398" t="n"/>
      <c r="F60" s="398" t="n"/>
      <c r="G60" s="52" t="n"/>
      <c r="H60" s="41" t="n"/>
    </row>
    <row r="61">
      <c r="A61" s="437" t="n"/>
      <c r="B61" s="50" t="n"/>
      <c r="C61" s="398" t="inlineStr">
        <is>
          <t>…</t>
        </is>
      </c>
      <c r="D61" s="426" t="n"/>
      <c r="E61" s="426" t="n"/>
      <c r="F61" s="426" t="n"/>
      <c r="G61" s="52" t="n"/>
      <c r="H61" s="41" t="n"/>
    </row>
    <row r="62">
      <c r="G62" s="58" t="n"/>
      <c r="H62" s="438" t="n"/>
    </row>
    <row r="63">
      <c r="G63" s="58" t="n"/>
      <c r="H63" s="438" t="n"/>
    </row>
    <row r="64">
      <c r="G64" s="58" t="n"/>
      <c r="H64" s="438" t="n"/>
    </row>
    <row r="65">
      <c r="H65" s="439" t="n"/>
    </row>
    <row r="66">
      <c r="H66" s="46" t="n"/>
    </row>
    <row r="68">
      <c r="G68" s="58" t="n"/>
      <c r="H68" s="438" t="n"/>
    </row>
    <row r="69">
      <c r="G69" s="58" t="n"/>
      <c r="H69" s="438" t="n"/>
    </row>
    <row r="70">
      <c r="G70" s="58" t="n"/>
      <c r="H70" s="438" t="n"/>
    </row>
    <row r="71">
      <c r="G71" s="58" t="n"/>
      <c r="H71" s="438" t="n"/>
    </row>
    <row r="72">
      <c r="G72" s="58" t="n"/>
      <c r="H72" s="438" t="n"/>
    </row>
    <row r="73">
      <c r="G73" s="58" t="n"/>
      <c r="H73" s="438" t="n"/>
    </row>
    <row r="74">
      <c r="G74" s="58" t="n"/>
      <c r="H74" s="438" t="n"/>
    </row>
    <row r="75">
      <c r="G75" s="58" t="n"/>
      <c r="H75" s="438" t="n"/>
    </row>
    <row r="76">
      <c r="G76" s="58" t="n"/>
      <c r="H76" s="438" t="n"/>
    </row>
    <row r="77">
      <c r="G77" s="58" t="n"/>
      <c r="H77" s="438" t="n"/>
    </row>
    <row r="78">
      <c r="G78" s="58" t="n"/>
      <c r="H78" s="438" t="n"/>
    </row>
    <row r="79">
      <c r="H79" s="439" t="n"/>
    </row>
    <row r="80">
      <c r="H80" s="46" t="n"/>
    </row>
    <row r="82">
      <c r="G82" s="63" t="n"/>
      <c r="H82" s="440" t="n"/>
    </row>
    <row r="83">
      <c r="G83" s="63" t="n"/>
      <c r="H83" s="440" t="n"/>
    </row>
    <row r="84">
      <c r="G84" s="63" t="n"/>
      <c r="H84" s="440" t="n"/>
    </row>
    <row r="85">
      <c r="G85" s="63" t="n"/>
      <c r="H85" s="440" t="n"/>
    </row>
    <row r="86">
      <c r="G86" s="63" t="n"/>
      <c r="H86" s="440" t="n"/>
    </row>
    <row r="87">
      <c r="G87" s="63" t="n"/>
      <c r="H87" s="440" t="n"/>
    </row>
    <row r="88">
      <c r="G88" s="63" t="n"/>
      <c r="H88" s="440" t="n"/>
    </row>
    <row r="89">
      <c r="G89" s="63" t="n"/>
      <c r="H89" s="440" t="n"/>
    </row>
    <row r="90">
      <c r="G90" s="63" t="n"/>
      <c r="H90" s="440" t="n"/>
    </row>
    <row r="91">
      <c r="G91" s="63" t="n"/>
      <c r="H91" s="440" t="n"/>
    </row>
    <row r="92">
      <c r="G92" s="63" t="n"/>
      <c r="H92" s="440" t="n"/>
    </row>
    <row r="93">
      <c r="G93" s="63" t="n"/>
      <c r="H93" s="440" t="n"/>
    </row>
    <row r="94">
      <c r="H94" s="439" t="n"/>
    </row>
    <row r="95">
      <c r="H95" s="46" t="n"/>
    </row>
    <row r="99">
      <c r="G99" s="65" t="n"/>
      <c r="H99" s="441" t="n"/>
    </row>
    <row r="100">
      <c r="G100" s="65" t="n"/>
      <c r="H100" s="441" t="n"/>
    </row>
    <row r="101">
      <c r="G101" s="65" t="n"/>
      <c r="H101" s="441" t="n"/>
    </row>
    <row r="102">
      <c r="G102" s="65" t="n"/>
      <c r="H102" s="441" t="n"/>
    </row>
    <row r="103">
      <c r="G103" s="65" t="n"/>
      <c r="H103" s="441" t="n"/>
    </row>
    <row r="104">
      <c r="G104" s="65" t="n"/>
      <c r="H104" s="441" t="n"/>
    </row>
    <row r="105">
      <c r="H105" s="439" t="n"/>
    </row>
    <row r="108">
      <c r="G108" s="65" t="n"/>
      <c r="H108" s="441" t="n"/>
    </row>
    <row r="109">
      <c r="G109" s="65" t="n"/>
      <c r="H109" s="441" t="n"/>
    </row>
    <row r="110">
      <c r="G110" s="65" t="n"/>
      <c r="H110" s="441" t="n"/>
    </row>
    <row r="111">
      <c r="G111" s="65" t="n"/>
      <c r="H111" s="441" t="n"/>
    </row>
    <row r="112">
      <c r="H112" s="439" t="n"/>
    </row>
    <row r="115">
      <c r="G115" s="65" t="n"/>
      <c r="H115" s="441" t="n"/>
    </row>
    <row r="116">
      <c r="G116" s="65" t="n"/>
      <c r="H116" s="441" t="n"/>
    </row>
    <row r="117">
      <c r="G117" s="65" t="n"/>
      <c r="H117" s="441" t="n"/>
    </row>
    <row r="118">
      <c r="G118" s="65" t="n"/>
      <c r="H118" s="441" t="n"/>
    </row>
    <row r="119">
      <c r="G119" s="65" t="n"/>
      <c r="H119" s="441" t="n"/>
    </row>
    <row r="120">
      <c r="G120" s="65" t="n"/>
      <c r="H120" s="441" t="n"/>
    </row>
    <row r="121">
      <c r="G121" s="65" t="n"/>
      <c r="H121" s="441" t="n"/>
    </row>
    <row r="122">
      <c r="G122" s="65" t="n"/>
      <c r="H122" s="441" t="n"/>
    </row>
    <row r="123">
      <c r="G123" s="65" t="n"/>
      <c r="H123" s="441" t="n"/>
    </row>
    <row r="124">
      <c r="G124" s="65" t="n"/>
      <c r="H124" s="441" t="n"/>
    </row>
    <row r="125">
      <c r="H125" s="439" t="n"/>
    </row>
    <row r="128">
      <c r="G128" s="65" t="n"/>
      <c r="H128" s="441" t="n"/>
    </row>
    <row r="129">
      <c r="G129" s="65" t="n"/>
      <c r="H129" s="441" t="n"/>
    </row>
    <row r="130">
      <c r="G130" s="65" t="n"/>
      <c r="H130" s="441" t="n"/>
    </row>
    <row r="131">
      <c r="G131" s="65" t="n"/>
      <c r="H131" s="441" t="n"/>
    </row>
    <row r="132">
      <c r="G132" s="65" t="n"/>
      <c r="H132" s="441" t="n"/>
    </row>
    <row r="133">
      <c r="G133" s="65" t="n"/>
      <c r="H133" s="441" t="n"/>
    </row>
    <row r="134">
      <c r="G134" s="65" t="n"/>
      <c r="H134" s="441" t="n"/>
    </row>
    <row r="135">
      <c r="G135" s="65" t="n"/>
      <c r="H135" s="441" t="n"/>
    </row>
    <row r="136">
      <c r="H136" s="439" t="n"/>
    </row>
    <row r="139">
      <c r="G139" s="65" t="n"/>
      <c r="H139" s="441" t="n"/>
    </row>
    <row r="140">
      <c r="G140" s="65" t="n"/>
      <c r="H140" s="441" t="n"/>
    </row>
    <row r="141">
      <c r="G141" s="65" t="n"/>
      <c r="H141" s="441" t="n"/>
    </row>
    <row r="142">
      <c r="G142" s="65" t="n"/>
      <c r="H142" s="441" t="n"/>
    </row>
    <row r="143">
      <c r="G143" s="65" t="n"/>
      <c r="H143" s="441" t="n"/>
    </row>
    <row r="144">
      <c r="G144" s="65" t="n"/>
      <c r="H144" s="441" t="n"/>
    </row>
    <row r="145">
      <c r="H145" s="439" t="n"/>
    </row>
    <row r="148">
      <c r="G148" s="65" t="n"/>
      <c r="H148" s="441" t="n"/>
    </row>
    <row r="149">
      <c r="G149" s="65" t="n"/>
      <c r="H149" s="441" t="n"/>
    </row>
    <row r="150">
      <c r="G150" s="65" t="n"/>
      <c r="H150" s="441" t="n"/>
    </row>
    <row r="151">
      <c r="G151" s="65" t="n"/>
      <c r="H151" s="441" t="n"/>
    </row>
    <row r="152">
      <c r="G152" s="65" t="n"/>
      <c r="H152" s="441" t="n"/>
    </row>
    <row r="153">
      <c r="G153" s="65" t="n"/>
      <c r="H153" s="441" t="n"/>
    </row>
    <row r="154">
      <c r="G154" s="65" t="n"/>
      <c r="H154" s="441" t="n"/>
    </row>
    <row r="155">
      <c r="G155" s="65" t="n"/>
      <c r="H155" s="441" t="n"/>
    </row>
    <row r="156">
      <c r="G156" s="65" t="n"/>
      <c r="H156" s="441" t="n"/>
    </row>
    <row r="157">
      <c r="H157" s="439" t="n"/>
    </row>
    <row r="162">
      <c r="G162" s="65" t="n"/>
      <c r="H162" s="441" t="n"/>
    </row>
    <row r="163">
      <c r="G163" s="65" t="n"/>
      <c r="H163" s="441" t="n"/>
    </row>
    <row r="164">
      <c r="G164" s="65" t="n"/>
      <c r="H164" s="441" t="n"/>
    </row>
    <row r="165">
      <c r="G165" s="65" t="n"/>
      <c r="H165" s="441" t="n"/>
    </row>
    <row r="166">
      <c r="G166" s="65" t="n"/>
      <c r="H166" s="441" t="n"/>
    </row>
    <row r="167">
      <c r="G167" s="65" t="n"/>
      <c r="H167" s="441" t="n"/>
    </row>
    <row r="168">
      <c r="G168" s="65" t="n"/>
      <c r="H168" s="441" t="n"/>
    </row>
    <row r="169">
      <c r="G169" s="65" t="n"/>
      <c r="H169" s="441" t="n"/>
    </row>
    <row r="170">
      <c r="G170" s="65" t="n"/>
      <c r="H170" s="441" t="n"/>
    </row>
    <row r="171">
      <c r="H171" s="439" t="n"/>
    </row>
    <row r="174">
      <c r="G174" s="65" t="n"/>
      <c r="H174" s="441" t="n"/>
    </row>
    <row r="175">
      <c r="G175" s="65" t="n"/>
      <c r="H175" s="441" t="n"/>
    </row>
    <row r="176">
      <c r="G176" s="65" t="n"/>
      <c r="H176" s="441" t="n"/>
    </row>
    <row r="177">
      <c r="G177" s="65" t="n"/>
      <c r="H177" s="441" t="n"/>
    </row>
    <row r="178">
      <c r="G178" s="65" t="n"/>
      <c r="H178" s="441" t="n"/>
    </row>
    <row r="179">
      <c r="G179" s="65" t="n"/>
      <c r="H179" s="441" t="n"/>
    </row>
    <row r="180">
      <c r="G180" s="65" t="n"/>
      <c r="H180" s="441" t="n"/>
    </row>
    <row r="181">
      <c r="H181" s="439" t="n"/>
    </row>
    <row r="184">
      <c r="G184" s="65" t="n"/>
      <c r="H184" s="441" t="n"/>
    </row>
    <row r="185">
      <c r="G185" s="65" t="n"/>
      <c r="H185" s="441" t="n"/>
    </row>
    <row r="186">
      <c r="G186" s="65" t="n"/>
      <c r="H186" s="441" t="n"/>
    </row>
    <row r="187">
      <c r="G187" s="65" t="n"/>
      <c r="H187" s="441" t="n"/>
    </row>
    <row r="188">
      <c r="G188" s="65" t="n"/>
      <c r="H188" s="441" t="n"/>
    </row>
    <row r="189">
      <c r="G189" s="65" t="n"/>
      <c r="H189" s="441" t="n"/>
    </row>
    <row r="190">
      <c r="G190" s="65" t="n"/>
      <c r="H190" s="441" t="n"/>
    </row>
    <row r="191">
      <c r="H191" s="439" t="n"/>
    </row>
    <row r="194">
      <c r="G194" s="65" t="n"/>
      <c r="H194" s="441" t="n"/>
    </row>
    <row r="195">
      <c r="G195" s="65" t="n"/>
      <c r="H195" s="441" t="n"/>
    </row>
    <row r="196">
      <c r="G196" s="65" t="n"/>
      <c r="H196" s="441" t="n"/>
    </row>
    <row r="197">
      <c r="G197" s="65" t="n"/>
      <c r="H197" s="441" t="n"/>
    </row>
    <row r="198">
      <c r="G198" s="65" t="n"/>
      <c r="H198" s="441" t="n"/>
    </row>
    <row r="199">
      <c r="G199" s="65" t="n"/>
      <c r="H199" s="441" t="n"/>
    </row>
    <row r="200">
      <c r="H200" s="439" t="n"/>
    </row>
    <row r="203">
      <c r="G203" s="65" t="n"/>
      <c r="H203" s="441" t="n"/>
    </row>
    <row r="204">
      <c r="G204" s="65" t="n"/>
      <c r="H204" s="441" t="n"/>
    </row>
    <row r="205">
      <c r="G205" s="65" t="n"/>
      <c r="H205" s="441" t="n"/>
    </row>
    <row r="206">
      <c r="G206" s="65" t="n"/>
      <c r="H206" s="441" t="n"/>
    </row>
    <row r="207">
      <c r="G207" s="65" t="n"/>
      <c r="H207" s="441" t="n"/>
    </row>
    <row r="208">
      <c r="H208" s="439" t="n"/>
    </row>
    <row r="211">
      <c r="G211" s="65" t="n"/>
      <c r="H211" s="441" t="n"/>
    </row>
    <row r="212">
      <c r="G212" s="65" t="n"/>
      <c r="H212" s="441" t="n"/>
    </row>
    <row r="213">
      <c r="G213" s="65" t="n"/>
      <c r="H213" s="441" t="n"/>
    </row>
    <row r="214">
      <c r="G214" s="65" t="n"/>
      <c r="H214" s="441" t="n"/>
    </row>
    <row r="215">
      <c r="G215" s="65" t="n"/>
      <c r="H215" s="441" t="n"/>
    </row>
    <row r="216">
      <c r="H216" s="439" t="n"/>
    </row>
    <row r="219">
      <c r="G219" s="65" t="n"/>
      <c r="H219" s="441" t="n"/>
    </row>
    <row r="220">
      <c r="G220" s="65" t="n"/>
      <c r="H220" s="441" t="n"/>
    </row>
    <row r="221">
      <c r="G221" s="65" t="n"/>
      <c r="H221" s="441" t="n"/>
    </row>
    <row r="222">
      <c r="G222" s="65" t="n"/>
      <c r="H222" s="441" t="n"/>
    </row>
    <row r="223">
      <c r="G223" s="65" t="n"/>
      <c r="H223" s="441" t="n"/>
    </row>
    <row r="224">
      <c r="G224" s="65" t="n"/>
      <c r="H224" s="441" t="n"/>
    </row>
    <row r="225">
      <c r="G225" s="65" t="n"/>
      <c r="H225" s="441" t="n"/>
    </row>
    <row r="226">
      <c r="G226" s="65" t="n"/>
      <c r="H226" s="441" t="n"/>
    </row>
    <row r="227">
      <c r="H227" s="439" t="n"/>
    </row>
    <row r="230">
      <c r="G230" s="65" t="n"/>
      <c r="H230" s="441" t="n"/>
    </row>
    <row r="231">
      <c r="G231" s="65" t="n"/>
      <c r="H231" s="441" t="n"/>
    </row>
    <row r="232">
      <c r="G232" s="65" t="n"/>
      <c r="H232" s="441" t="n"/>
    </row>
    <row r="233">
      <c r="G233" s="65" t="n"/>
      <c r="H233" s="441" t="n"/>
    </row>
    <row r="234">
      <c r="G234" s="65" t="n"/>
      <c r="H234" s="441" t="n"/>
    </row>
    <row r="235">
      <c r="G235" s="65" t="n"/>
      <c r="H235" s="441" t="n"/>
    </row>
    <row r="236">
      <c r="G236" s="65" t="n"/>
      <c r="H236" s="441" t="n"/>
    </row>
    <row r="237">
      <c r="G237" s="65" t="n"/>
      <c r="H237" s="441" t="n"/>
    </row>
    <row r="238">
      <c r="G238" s="65" t="n"/>
      <c r="H238" s="441" t="n"/>
    </row>
    <row r="239">
      <c r="G239" s="65" t="n"/>
      <c r="H239" s="441" t="n"/>
    </row>
    <row r="240">
      <c r="G240" s="65" t="n"/>
      <c r="H240" s="441" t="n"/>
    </row>
    <row r="241">
      <c r="G241" s="65" t="n"/>
      <c r="H241" s="441" t="n"/>
    </row>
    <row r="242">
      <c r="H242" s="439" t="n"/>
    </row>
    <row r="247">
      <c r="G247" s="65" t="n"/>
      <c r="H247" s="441" t="n"/>
    </row>
    <row r="248">
      <c r="G248" s="65" t="n"/>
      <c r="H248" s="441" t="n"/>
    </row>
    <row r="249">
      <c r="G249" s="65" t="n"/>
      <c r="H249" s="441" t="n"/>
    </row>
    <row r="250">
      <c r="G250" s="65" t="n"/>
      <c r="H250" s="441" t="n"/>
    </row>
    <row r="251">
      <c r="G251" s="65" t="n"/>
      <c r="H251" s="441" t="n"/>
    </row>
    <row r="252">
      <c r="H252" s="439" t="n"/>
    </row>
    <row r="255">
      <c r="G255" s="65" t="n"/>
      <c r="H255" s="441" t="n"/>
    </row>
    <row r="256">
      <c r="G256" s="65" t="n"/>
      <c r="H256" s="441" t="n"/>
    </row>
    <row r="257">
      <c r="G257" s="65" t="n"/>
      <c r="H257" s="441" t="n"/>
    </row>
    <row r="258">
      <c r="G258" s="65" t="n"/>
      <c r="H258" s="441" t="n"/>
    </row>
    <row r="259">
      <c r="H259" s="439" t="n"/>
    </row>
    <row r="262">
      <c r="G262" s="65" t="n"/>
      <c r="H262" s="441" t="n"/>
    </row>
    <row r="263">
      <c r="G263" s="65" t="n"/>
      <c r="H263" s="441" t="n"/>
    </row>
    <row r="264">
      <c r="G264" s="65" t="n"/>
      <c r="H264" s="441" t="n"/>
    </row>
    <row r="265">
      <c r="G265" s="65" t="n"/>
      <c r="H265" s="441" t="n"/>
    </row>
    <row r="266">
      <c r="H266" s="439" t="n"/>
    </row>
    <row r="269">
      <c r="G269" s="65" t="n"/>
      <c r="H269" s="441" t="n"/>
    </row>
    <row r="270">
      <c r="G270" s="65" t="n"/>
      <c r="H270" s="441" t="n"/>
    </row>
    <row r="271">
      <c r="G271" s="65" t="n"/>
      <c r="H271" s="441" t="n"/>
    </row>
    <row r="272">
      <c r="G272" s="65" t="n"/>
      <c r="H272" s="441" t="n"/>
    </row>
    <row r="273">
      <c r="G273" s="65" t="n"/>
      <c r="H273" s="441" t="n"/>
    </row>
    <row r="274">
      <c r="H274" s="439" t="n"/>
    </row>
    <row r="277">
      <c r="G277" s="65" t="n"/>
      <c r="H277" s="441" t="n"/>
    </row>
    <row r="278">
      <c r="G278" s="65" t="n"/>
      <c r="H278" s="441" t="n"/>
    </row>
    <row r="279">
      <c r="G279" s="65" t="n"/>
      <c r="H279" s="441" t="n"/>
    </row>
    <row r="280">
      <c r="G280" s="65" t="n"/>
      <c r="H280" s="441" t="n"/>
    </row>
    <row r="281">
      <c r="G281" s="65" t="n"/>
      <c r="H281" s="441" t="n"/>
    </row>
    <row r="282">
      <c r="G282" s="65" t="n"/>
      <c r="H282" s="441" t="n"/>
    </row>
    <row r="283">
      <c r="G283" s="65" t="n"/>
      <c r="H283" s="441" t="n"/>
    </row>
    <row r="284">
      <c r="H284" s="439" t="n"/>
    </row>
    <row r="289">
      <c r="G289" s="67" t="n"/>
      <c r="H289" s="442" t="n"/>
    </row>
    <row r="290">
      <c r="G290" s="67" t="n"/>
      <c r="H290" s="442" t="n"/>
    </row>
    <row r="291">
      <c r="G291" s="67" t="n"/>
      <c r="H291" s="442" t="n"/>
    </row>
    <row r="292">
      <c r="G292" s="67" t="n"/>
      <c r="H292" s="442" t="n"/>
    </row>
    <row r="293">
      <c r="G293" s="67" t="n"/>
      <c r="H293" s="442" t="n"/>
    </row>
    <row r="294">
      <c r="G294" s="67" t="n"/>
      <c r="H294" s="442" t="n"/>
    </row>
    <row r="295">
      <c r="H295" s="439" t="n"/>
    </row>
    <row r="298">
      <c r="G298" s="65" t="n"/>
      <c r="H298" s="441" t="n"/>
    </row>
    <row r="299">
      <c r="G299" s="65" t="n"/>
      <c r="H299" s="441" t="n"/>
    </row>
    <row r="300">
      <c r="G300" s="65" t="n"/>
      <c r="H300" s="441" t="n"/>
    </row>
    <row r="301">
      <c r="G301" s="65" t="n"/>
      <c r="H301" s="441" t="n"/>
    </row>
    <row r="302">
      <c r="G302" s="65" t="n"/>
      <c r="H302" s="441" t="n"/>
    </row>
    <row r="303">
      <c r="G303" s="65" t="n"/>
      <c r="H303" s="441" t="n"/>
    </row>
    <row r="304">
      <c r="H304" s="439" t="n"/>
    </row>
    <row r="307">
      <c r="G307" s="65" t="n"/>
      <c r="H307" s="441" t="n"/>
    </row>
    <row r="308">
      <c r="G308" s="65" t="n"/>
      <c r="H308" s="441" t="n"/>
    </row>
    <row r="309">
      <c r="G309" s="65" t="n"/>
      <c r="H309" s="441" t="n"/>
    </row>
    <row r="310">
      <c r="G310" s="65" t="n"/>
      <c r="H310" s="441" t="n"/>
    </row>
    <row r="311">
      <c r="G311" s="65" t="n"/>
      <c r="H311" s="441" t="n"/>
    </row>
    <row r="312">
      <c r="G312" s="65" t="n"/>
      <c r="H312" s="441" t="n"/>
    </row>
    <row r="313">
      <c r="G313" s="65" t="n"/>
      <c r="H313" s="441" t="n"/>
    </row>
    <row r="314">
      <c r="H314" s="439" t="n"/>
    </row>
    <row r="319">
      <c r="G319" s="65" t="n"/>
      <c r="H319" s="441" t="n"/>
    </row>
    <row r="320">
      <c r="G320" s="65" t="n"/>
      <c r="H320" s="441" t="n"/>
    </row>
    <row r="321">
      <c r="G321" s="65" t="n"/>
      <c r="H321" s="441" t="n"/>
    </row>
    <row r="322">
      <c r="G322" s="65" t="n"/>
      <c r="H322" s="441" t="n"/>
    </row>
    <row r="323">
      <c r="G323" s="65" t="n"/>
      <c r="H323" s="441" t="n"/>
    </row>
    <row r="324">
      <c r="G324" s="65" t="n"/>
      <c r="H324" s="441" t="n"/>
    </row>
    <row r="325">
      <c r="H325" s="439" t="n"/>
    </row>
    <row r="328">
      <c r="G328" s="65" t="n"/>
      <c r="H328" s="441" t="n"/>
    </row>
    <row r="329">
      <c r="G329" s="65" t="n"/>
      <c r="H329" s="441" t="n"/>
    </row>
    <row r="330">
      <c r="G330" s="65" t="n"/>
      <c r="H330" s="441" t="n"/>
    </row>
    <row r="331">
      <c r="G331" s="65" t="n"/>
      <c r="H331" s="441" t="n"/>
    </row>
    <row r="332">
      <c r="G332" s="65" t="n"/>
      <c r="H332" s="441" t="n"/>
    </row>
    <row r="333">
      <c r="G333" s="65" t="n"/>
      <c r="H333" s="441" t="n"/>
    </row>
    <row r="334">
      <c r="G334" s="65" t="n"/>
      <c r="H334" s="441" t="n"/>
    </row>
    <row r="335">
      <c r="G335" s="65" t="n"/>
      <c r="H335" s="441" t="n"/>
    </row>
    <row r="336">
      <c r="G336" s="65" t="n"/>
      <c r="H336" s="441" t="n"/>
    </row>
    <row r="337">
      <c r="H337" s="439" t="n"/>
    </row>
    <row r="342">
      <c r="G342" s="65" t="n"/>
      <c r="H342" s="441" t="n"/>
    </row>
    <row r="343">
      <c r="G343" s="65" t="n"/>
      <c r="H343" s="441" t="n"/>
    </row>
    <row r="344">
      <c r="G344" s="65" t="n"/>
      <c r="H344" s="441" t="n"/>
    </row>
    <row r="345">
      <c r="G345" s="65" t="n"/>
      <c r="H345" s="441" t="n"/>
    </row>
    <row r="346">
      <c r="H346" s="439" t="n"/>
    </row>
    <row r="349">
      <c r="G349" s="65" t="n"/>
      <c r="H349" s="441" t="n"/>
    </row>
    <row r="350">
      <c r="G350" s="65" t="n"/>
      <c r="H350" s="441" t="n"/>
    </row>
    <row r="351">
      <c r="G351" s="65" t="n"/>
      <c r="H351" s="441" t="n"/>
    </row>
    <row r="352">
      <c r="G352" s="65" t="n"/>
      <c r="H352" s="441" t="n"/>
    </row>
    <row r="353">
      <c r="G353" s="65" t="n"/>
      <c r="H353" s="441" t="n"/>
    </row>
    <row r="354">
      <c r="G354" s="65" t="n"/>
      <c r="H354" s="441" t="n"/>
    </row>
    <row r="355">
      <c r="H355" s="439" t="n"/>
    </row>
    <row r="358">
      <c r="G358" s="65" t="n"/>
      <c r="H358" s="441" t="n"/>
    </row>
    <row r="359">
      <c r="G359" s="65" t="n"/>
      <c r="H359" s="441" t="n"/>
    </row>
    <row r="360">
      <c r="G360" s="65" t="n"/>
      <c r="H360" s="441" t="n"/>
    </row>
    <row r="361">
      <c r="G361" s="65" t="n"/>
      <c r="H361" s="441" t="n"/>
    </row>
    <row r="362">
      <c r="H362" s="439" t="n"/>
    </row>
    <row r="368">
      <c r="H368" s="34" t="n"/>
    </row>
  </sheetData>
  <mergeCells count="14">
    <mergeCell ref="A22:A27"/>
    <mergeCell ref="C31:F31"/>
    <mergeCell ref="A7:A9"/>
    <mergeCell ref="A56:A61"/>
    <mergeCell ref="B56:H56"/>
    <mergeCell ref="C61:F61"/>
    <mergeCell ref="D8:D9"/>
    <mergeCell ref="B30:H30"/>
    <mergeCell ref="C33:F33"/>
    <mergeCell ref="C32:F32"/>
    <mergeCell ref="C57:F57"/>
    <mergeCell ref="A16:A19"/>
    <mergeCell ref="C58:F58"/>
    <mergeCell ref="A30:A53"/>
  </mergeCells>
  <conditionalFormatting sqref="B9:C9">
    <cfRule type="cellIs" priority="9" operator="equal" dxfId="1">
      <formula>"Versie XXX"</formula>
    </cfRule>
  </conditionalFormatting>
  <conditionalFormatting sqref="B7:H7">
    <cfRule type="cellIs" priority="10" operator="equal" dxfId="1">
      <formula>"Projectnummer + Naam"</formula>
    </cfRule>
  </conditionalFormatting>
  <conditionalFormatting sqref="C8">
    <cfRule type="cellIs" priority="7" operator="equal" dxfId="43">
      <formula>"Kostencalculatie (D&amp;B) / DO Kostenraming (PM)"</formula>
    </cfRule>
  </conditionalFormatting>
  <conditionalFormatting sqref="E23:E26">
    <cfRule type="cellIs" priority="2" operator="between" dxfId="43">
      <formula>0</formula>
      <formula>0.0001</formula>
    </cfRule>
    <cfRule type="cellIs" priority="3" operator="greaterThan" dxfId="54">
      <formula>0</formula>
    </cfRule>
  </conditionalFormatting>
  <conditionalFormatting sqref="F9">
    <cfRule type="cellIs" priority="1" operator="equal" dxfId="1">
      <formula>"dd-mm-jjjj"</formula>
    </cfRule>
  </conditionalFormatting>
  <conditionalFormatting sqref="F8:G8">
    <cfRule type="cellIs" priority="5" operator="equal" dxfId="1">
      <formula>"dd-mm-jjjj"</formula>
    </cfRule>
  </conditionalFormatting>
  <pageMargins left="0.7086614173228347" right="0.7086614173228347" top="0.6299212598425197" bottom="0.7480314960629921" header="0.3149606299212598" footer="0.3149606299212598"/>
  <pageSetup orientation="portrait" paperSize="9" scale="68" fitToHeight="0"/>
  <rowBreaks count="1" manualBreakCount="1">
    <brk id="62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7:I78"/>
  <sheetViews>
    <sheetView view="pageBreakPreview" zoomScaleNormal="100" zoomScaleSheetLayoutView="100" workbookViewId="0">
      <pane ySplit="12" topLeftCell="A13" activePane="bottomLeft" state="frozen"/>
      <selection activeCell="C2" sqref="C2"/>
      <selection pane="bottomLeft" activeCell="B61" sqref="B61:F61"/>
    </sheetView>
  </sheetViews>
  <sheetFormatPr baseColWidth="8" defaultColWidth="8.75" defaultRowHeight="12.75" outlineLevelRow="1"/>
  <cols>
    <col width="4.75" customWidth="1" style="87" min="1" max="1"/>
    <col width="3.625" customWidth="1" style="87" min="2" max="2"/>
    <col width="72.75" customWidth="1" style="87" min="3" max="3"/>
    <col width="8.125" customWidth="1" style="87" min="4" max="4"/>
    <col width="8.625" customWidth="1" style="87" min="5" max="5"/>
    <col width="10.75" customWidth="1" style="87" min="6" max="6"/>
    <col width="15.125" customWidth="1" style="87" min="7" max="7"/>
    <col width="1" customWidth="1" style="87" min="8" max="8"/>
    <col outlineLevel="1" width="10.75" customWidth="1" style="87" min="9" max="9"/>
    <col width="3.375" customWidth="1" style="87" min="10" max="10"/>
    <col width="8.75" customWidth="1" style="87" min="11" max="16384"/>
  </cols>
  <sheetData>
    <row r="7" ht="25.5" customHeight="1">
      <c r="A7" s="443" t="inlineStr">
        <is>
          <t>PROJECT</t>
        </is>
      </c>
      <c r="B7" s="84" t="n"/>
      <c r="C7" s="36">
        <f>'2 | Basic principles'!C7</f>
        <v/>
      </c>
      <c r="D7" s="85" t="n"/>
      <c r="E7" s="85" t="n"/>
      <c r="F7" s="85" t="n"/>
      <c r="G7" s="86" t="n"/>
      <c r="I7" s="411" t="inlineStr">
        <is>
          <t>Totaal m²</t>
        </is>
      </c>
    </row>
    <row r="8" ht="25.5" customHeight="1">
      <c r="A8" s="444" t="n"/>
      <c r="B8" s="84" t="n"/>
      <c r="C8" s="37">
        <f>'2 | Basic principles'!C8</f>
        <v/>
      </c>
      <c r="D8" s="415" t="inlineStr">
        <is>
          <t>DATE</t>
        </is>
      </c>
      <c r="E8" s="88" t="inlineStr">
        <is>
          <t>Line-up</t>
        </is>
      </c>
      <c r="F8" s="44">
        <f>'2 | Basic principles'!F8</f>
        <v/>
      </c>
      <c r="G8" s="89" t="n"/>
      <c r="I8" s="445" t="n"/>
    </row>
    <row r="9" ht="25.5" customHeight="1">
      <c r="A9" s="446" t="n"/>
      <c r="B9" s="84" t="n"/>
      <c r="C9" s="90">
        <f>'2 | Basic principles'!C9</f>
        <v/>
      </c>
      <c r="D9" s="447" t="n"/>
      <c r="E9" s="91" t="inlineStr">
        <is>
          <t>Change</t>
        </is>
      </c>
      <c r="F9" s="92">
        <f>TODAY()</f>
        <v/>
      </c>
      <c r="G9" s="93" t="n"/>
      <c r="I9" s="94">
        <f>'2 | Basic principles'!E27</f>
        <v/>
      </c>
    </row>
    <row r="11">
      <c r="A11" s="95" t="inlineStr">
        <is>
          <t>Code</t>
        </is>
      </c>
      <c r="B11" s="413" t="n"/>
      <c r="C11" s="413" t="inlineStr">
        <is>
          <t>Description</t>
        </is>
      </c>
      <c r="D11" s="448" t="n"/>
      <c r="E11" s="448" t="n"/>
      <c r="F11" s="448" t="n"/>
      <c r="G11" s="97" t="inlineStr">
        <is>
          <t>Total €.</t>
        </is>
      </c>
      <c r="I11" s="98" t="inlineStr">
        <is>
          <t>€/m²</t>
        </is>
      </c>
    </row>
    <row r="12" ht="3.75" customFormat="1" customHeight="1" s="38">
      <c r="A12" s="77" t="n"/>
      <c r="B12" s="78" t="n"/>
      <c r="C12" s="79" t="n"/>
      <c r="D12" s="78" t="n"/>
      <c r="E12" s="78" t="n"/>
      <c r="F12" s="78" t="n"/>
      <c r="G12" s="80" t="n"/>
      <c r="H12" s="45" t="n"/>
      <c r="I12" s="99" t="n"/>
    </row>
    <row r="13" ht="4.35" customHeight="1">
      <c r="I13" s="100" t="n"/>
    </row>
    <row r="14">
      <c r="A14" s="101" t="n">
        <v>100</v>
      </c>
      <c r="B14" s="101" t="inlineStr">
        <is>
          <t>BOUWKUNDIGE WERKZAAMHEDEN &amp; BOUWPLAATS</t>
        </is>
      </c>
      <c r="C14" s="102" t="n"/>
      <c r="D14" s="102" t="n"/>
      <c r="E14" s="102" t="n"/>
      <c r="F14" s="102" t="n"/>
      <c r="G14" s="449">
        <f>SUM(G16:G25)</f>
        <v/>
      </c>
      <c r="I14" s="450">
        <f>SUM(I16:I25)</f>
        <v/>
      </c>
    </row>
    <row r="15" ht="4.35" customHeight="1">
      <c r="I15" s="100" t="n"/>
    </row>
    <row r="16" outlineLevel="1">
      <c r="A16" s="104" t="n">
        <v>110</v>
      </c>
      <c r="B16" s="407" t="inlineStr">
        <is>
          <t>INRICHTING BOUWPLAATS &amp; BEGELEIDING</t>
        </is>
      </c>
      <c r="C16" s="451" t="n"/>
      <c r="D16" s="451" t="n"/>
      <c r="E16" s="451" t="n"/>
      <c r="F16" s="451" t="n"/>
      <c r="G16" s="452">
        <f>'4 | Calculation'!G34</f>
        <v/>
      </c>
      <c r="I16" s="453">
        <f>G16/$I$9</f>
        <v/>
      </c>
    </row>
    <row r="17" outlineLevel="1" collapsed="1">
      <c r="A17" s="104" t="n">
        <v>120</v>
      </c>
      <c r="B17" s="405" t="inlineStr">
        <is>
          <t>SLOOPWERKZAAMHEDEN</t>
        </is>
      </c>
      <c r="C17" s="451" t="n"/>
      <c r="D17" s="451" t="n"/>
      <c r="E17" s="451" t="n"/>
      <c r="F17" s="451" t="n"/>
      <c r="G17" s="454">
        <f>'4 | Calculation'!G55</f>
        <v/>
      </c>
      <c r="I17" s="455">
        <f>G17/$I$9</f>
        <v/>
      </c>
    </row>
    <row r="18" outlineLevel="1">
      <c r="A18" s="104" t="n">
        <v>131</v>
      </c>
      <c r="B18" s="405" t="inlineStr">
        <is>
          <t>DIVERSE BOUWKUNDIGE WERKZAAMHEDEN</t>
        </is>
      </c>
      <c r="C18" s="406" t="n"/>
      <c r="D18" s="406" t="n"/>
      <c r="E18" s="406" t="n"/>
      <c r="F18" s="406" t="n"/>
      <c r="G18" s="454">
        <f>'4 | Calculation'!G64</f>
        <v/>
      </c>
      <c r="I18" s="455">
        <f>G18/$I$9</f>
        <v/>
      </c>
    </row>
    <row r="19" outlineLevel="1">
      <c r="A19" s="104" t="n">
        <v>132</v>
      </c>
      <c r="B19" s="405" t="inlineStr">
        <is>
          <t>STAIRS</t>
        </is>
      </c>
      <c r="C19" s="406" t="n"/>
      <c r="D19" s="406" t="n"/>
      <c r="E19" s="406" t="n"/>
      <c r="F19" s="406" t="n"/>
      <c r="G19" s="454">
        <f>'4 | Calculation'!G79</f>
        <v/>
      </c>
      <c r="I19" s="455">
        <f>G19/$I$9</f>
        <v/>
      </c>
    </row>
    <row r="20" outlineLevel="1">
      <c r="A20" s="104" t="n">
        <v>133</v>
      </c>
      <c r="B20" s="405" t="inlineStr">
        <is>
          <t>ENTRANCES</t>
        </is>
      </c>
      <c r="C20" s="406" t="n"/>
      <c r="D20" s="406" t="n"/>
      <c r="E20" s="406" t="n"/>
      <c r="F20" s="406" t="n"/>
      <c r="G20" s="454">
        <f>'4 | Calculation'!G91</f>
        <v/>
      </c>
      <c r="I20" s="455">
        <f>G20/$I$9</f>
        <v/>
      </c>
    </row>
    <row r="21" outlineLevel="1">
      <c r="A21" s="104" t="n">
        <v>134</v>
      </c>
      <c r="B21" s="405" t="inlineStr">
        <is>
          <t>KITCHEN</t>
        </is>
      </c>
      <c r="C21" s="406" t="n"/>
      <c r="D21" s="406" t="n"/>
      <c r="E21" s="406" t="n"/>
      <c r="F21" s="406" t="n"/>
      <c r="G21" s="454">
        <f>'4 | Calculation'!G114</f>
        <v/>
      </c>
      <c r="I21" s="455">
        <f>G21/$I$9</f>
        <v/>
      </c>
    </row>
    <row r="22" outlineLevel="1">
      <c r="A22" s="104" t="n">
        <v>135</v>
      </c>
      <c r="B22" s="405" t="inlineStr">
        <is>
          <t>OTHER</t>
        </is>
      </c>
      <c r="C22" s="406" t="n"/>
      <c r="D22" s="406" t="n"/>
      <c r="E22" s="406" t="n"/>
      <c r="F22" s="406" t="n"/>
      <c r="G22" s="454">
        <f>'4 | Calculation'!G123</f>
        <v/>
      </c>
      <c r="I22" s="455">
        <f>G22/$I$9</f>
        <v/>
      </c>
    </row>
    <row r="23" outlineLevel="1" collapsed="1">
      <c r="A23" s="104" t="n">
        <v>141</v>
      </c>
      <c r="B23" s="405" t="inlineStr">
        <is>
          <t>TOILET AREA</t>
        </is>
      </c>
      <c r="C23" s="451" t="n"/>
      <c r="D23" s="451" t="n"/>
      <c r="E23" s="451" t="n"/>
      <c r="F23" s="451" t="n"/>
      <c r="G23" s="454">
        <f>'4 | Calculation'!G145</f>
        <v/>
      </c>
      <c r="I23" s="455">
        <f>G23/$I$9</f>
        <v/>
      </c>
    </row>
    <row r="24" outlineLevel="1">
      <c r="A24" s="104" t="n">
        <v>142</v>
      </c>
      <c r="B24" s="405" t="inlineStr">
        <is>
          <t>SHOWER</t>
        </is>
      </c>
      <c r="C24" s="406" t="n"/>
      <c r="D24" s="406" t="n"/>
      <c r="E24" s="406" t="n"/>
      <c r="F24" s="406" t="n"/>
      <c r="G24" s="454">
        <f>'4 | Calculation'!G165</f>
        <v/>
      </c>
      <c r="I24" s="455">
        <f>G24/$I$9</f>
        <v/>
      </c>
    </row>
    <row r="25" outlineLevel="1">
      <c r="A25" s="112" t="n">
        <v>143</v>
      </c>
      <c r="B25" s="405" t="inlineStr">
        <is>
          <t>STORAGE CABINET/FIRST AID/BREAST PUMP ROOM</t>
        </is>
      </c>
      <c r="C25" s="406" t="n"/>
      <c r="D25" s="406" t="n"/>
      <c r="E25" s="406" t="n"/>
      <c r="F25" s="406" t="n"/>
      <c r="G25" s="454">
        <f>'4 | Calculation'!G185</f>
        <v/>
      </c>
      <c r="I25" s="456">
        <f>G25/$I$9</f>
        <v/>
      </c>
    </row>
    <row r="27">
      <c r="A27" s="101" t="n">
        <v>200</v>
      </c>
      <c r="B27" s="101" t="inlineStr">
        <is>
          <t>INSTALLATION WORKS</t>
        </is>
      </c>
      <c r="C27" s="102" t="n"/>
      <c r="D27" s="102" t="n"/>
      <c r="E27" s="102" t="n"/>
      <c r="F27" s="102" t="n"/>
      <c r="G27" s="449">
        <f>SUM(G29:G34)</f>
        <v/>
      </c>
      <c r="I27" s="450">
        <f>SUM(I29:I34)</f>
        <v/>
      </c>
    </row>
    <row r="28" ht="4.35" customHeight="1">
      <c r="B28" s="114" t="n"/>
      <c r="C28" s="114" t="n"/>
      <c r="D28" s="114" t="n"/>
      <c r="E28" s="114" t="n"/>
      <c r="F28" s="114" t="n"/>
      <c r="G28" s="114" t="n"/>
      <c r="I28" s="100" t="n"/>
    </row>
    <row r="29" outlineLevel="1">
      <c r="A29" s="104" t="n">
        <v>210</v>
      </c>
      <c r="B29" s="405" t="inlineStr">
        <is>
          <t>HVAC INSTALLATION</t>
        </is>
      </c>
      <c r="C29" s="451" t="n"/>
      <c r="D29" s="451" t="n"/>
      <c r="E29" s="451" t="n"/>
      <c r="F29" s="451" t="n"/>
      <c r="G29" s="454">
        <f>'4 | Calculation'!G205</f>
        <v/>
      </c>
      <c r="I29" s="453">
        <f>G29/$I$9</f>
        <v/>
      </c>
    </row>
    <row r="30" outlineLevel="1">
      <c r="A30" s="104" t="n">
        <v>220</v>
      </c>
      <c r="B30" s="405" t="inlineStr">
        <is>
          <t>PLUMBING WORKS</t>
        </is>
      </c>
      <c r="C30" s="451" t="n"/>
      <c r="D30" s="451" t="n"/>
      <c r="E30" s="451" t="n"/>
      <c r="F30" s="451" t="n"/>
      <c r="G30" s="454">
        <f>'4 | Calculation'!G213</f>
        <v/>
      </c>
      <c r="I30" s="455">
        <f>G30/$I$9</f>
        <v/>
      </c>
    </row>
    <row r="31" outlineLevel="1">
      <c r="A31" s="104" t="n">
        <v>230</v>
      </c>
      <c r="B31" s="405" t="inlineStr">
        <is>
          <t>ELECTRICAL INSTALLATION</t>
        </is>
      </c>
      <c r="C31" s="451" t="n"/>
      <c r="D31" s="451" t="n"/>
      <c r="E31" s="451" t="n"/>
      <c r="F31" s="451" t="n"/>
      <c r="G31" s="454">
        <f>'4 | Calculation'!G237</f>
        <v/>
      </c>
      <c r="I31" s="455">
        <f>G31/$I$9</f>
        <v/>
      </c>
    </row>
    <row r="32" outlineLevel="1">
      <c r="A32" s="104" t="n">
        <v>240</v>
      </c>
      <c r="B32" s="405" t="inlineStr">
        <is>
          <t>ACCESS CONTROL &amp; SECURITY</t>
        </is>
      </c>
      <c r="C32" s="451" t="n"/>
      <c r="D32" s="451" t="n"/>
      <c r="E32" s="451" t="n"/>
      <c r="F32" s="451" t="n"/>
      <c r="G32" s="454">
        <f>'4 | Calculation'!G257</f>
        <v/>
      </c>
      <c r="I32" s="455">
        <f>G32/$I$9</f>
        <v/>
      </c>
    </row>
    <row r="33" outlineLevel="1">
      <c r="A33" s="104" t="n">
        <v>250</v>
      </c>
      <c r="B33" s="405" t="inlineStr">
        <is>
          <t>IT INSTALLATION</t>
        </is>
      </c>
      <c r="C33" s="451" t="n"/>
      <c r="D33" s="451" t="n"/>
      <c r="E33" s="451" t="n"/>
      <c r="F33" s="451" t="n"/>
      <c r="G33" s="454">
        <f>'4 | Calculation'!G280</f>
        <v/>
      </c>
      <c r="I33" s="455">
        <f>G33/$I$9</f>
        <v/>
      </c>
    </row>
    <row r="34" outlineLevel="1">
      <c r="A34" s="112" t="n">
        <v>260</v>
      </c>
      <c r="B34" s="405" t="inlineStr">
        <is>
          <t>FIRE SAFETY</t>
        </is>
      </c>
      <c r="C34" s="451" t="n"/>
      <c r="D34" s="451" t="n"/>
      <c r="E34" s="451" t="n"/>
      <c r="F34" s="451" t="n"/>
      <c r="G34" s="454">
        <f>'4 | Calculation'!G304</f>
        <v/>
      </c>
      <c r="I34" s="456">
        <f>G34/$I$9</f>
        <v/>
      </c>
    </row>
    <row r="36">
      <c r="A36" s="101" t="n">
        <v>300</v>
      </c>
      <c r="B36" s="101" t="inlineStr">
        <is>
          <t>FINISHING &amp; FIXTURES</t>
        </is>
      </c>
      <c r="C36" s="102" t="n"/>
      <c r="D36" s="102" t="n"/>
      <c r="E36" s="102" t="n"/>
      <c r="F36" s="102" t="n"/>
      <c r="G36" s="449">
        <f>SUM(G38:G49)</f>
        <v/>
      </c>
      <c r="I36" s="450">
        <f>SUM(I38:I49)</f>
        <v/>
      </c>
    </row>
    <row r="37" ht="4.35" customHeight="1">
      <c r="I37" s="100" t="n"/>
    </row>
    <row r="38" outlineLevel="1">
      <c r="A38" s="104" t="n">
        <v>311</v>
      </c>
      <c r="B38" s="405" t="inlineStr">
        <is>
          <t>FLOOR FINISHES</t>
        </is>
      </c>
      <c r="C38" s="451" t="n"/>
      <c r="D38" s="451" t="n"/>
      <c r="E38" s="451" t="n"/>
      <c r="F38" s="451" t="n"/>
      <c r="G38" s="454">
        <f>'4 | Calculation'!G314</f>
        <v/>
      </c>
      <c r="I38" s="453">
        <f>G38/$I$9</f>
        <v/>
      </c>
    </row>
    <row r="39" outlineLevel="1">
      <c r="A39" s="104" t="n">
        <v>312</v>
      </c>
      <c r="B39" s="405" t="inlineStr">
        <is>
          <t>PREMIUM FLOOR FINISHES</t>
        </is>
      </c>
      <c r="C39" s="406" t="n"/>
      <c r="D39" s="406" t="n"/>
      <c r="E39" s="406" t="n"/>
      <c r="F39" s="406" t="n"/>
      <c r="G39" s="454">
        <f>'4 | Calculation'!G320</f>
        <v/>
      </c>
      <c r="I39" s="455">
        <f>G39/$I$9</f>
        <v/>
      </c>
    </row>
    <row r="40" outlineLevel="1">
      <c r="A40" s="104" t="n">
        <v>313</v>
      </c>
      <c r="B40" s="405" t="inlineStr">
        <is>
          <t>WOODEN FLOORING</t>
        </is>
      </c>
      <c r="C40" s="406" t="n"/>
      <c r="D40" s="406" t="n"/>
      <c r="E40" s="406" t="n"/>
      <c r="F40" s="406" t="n"/>
      <c r="G40" s="454">
        <f>'4 | Calculation'!G327</f>
        <v/>
      </c>
      <c r="I40" s="455">
        <f>G40/$I$9</f>
        <v/>
      </c>
    </row>
    <row r="41" outlineLevel="1">
      <c r="A41" s="104" t="n">
        <v>314</v>
      </c>
      <c r="B41" s="405" t="inlineStr">
        <is>
          <t>OTHER FLOOR FINISHES</t>
        </is>
      </c>
      <c r="C41" s="406" t="n"/>
      <c r="D41" s="406" t="n"/>
      <c r="E41" s="406" t="n"/>
      <c r="F41" s="406" t="n"/>
      <c r="G41" s="454">
        <f>'4 | Calculation'!G339</f>
        <v/>
      </c>
      <c r="I41" s="455">
        <f>G41/$I$9</f>
        <v/>
      </c>
    </row>
    <row r="42" outlineLevel="1">
      <c r="A42" s="104" t="n">
        <v>321</v>
      </c>
      <c r="B42" s="405" t="inlineStr">
        <is>
          <t>MS WALLS</t>
        </is>
      </c>
      <c r="C42" s="451" t="n"/>
      <c r="D42" s="451" t="n"/>
      <c r="E42" s="451" t="n"/>
      <c r="F42" s="451" t="n"/>
      <c r="G42" s="454">
        <f>'4 | Calculation'!G354</f>
        <v/>
      </c>
      <c r="I42" s="455">
        <f>G42/$I$9</f>
        <v/>
      </c>
    </row>
    <row r="43" outlineLevel="1">
      <c r="A43" s="104" t="n">
        <v>322</v>
      </c>
      <c r="B43" s="405" t="inlineStr">
        <is>
          <t>MODULAR WALLS</t>
        </is>
      </c>
      <c r="C43" s="406" t="n"/>
      <c r="D43" s="406" t="n"/>
      <c r="E43" s="406" t="n"/>
      <c r="F43" s="406" t="n"/>
      <c r="G43" s="454">
        <f>'4 | Calculation'!G368</f>
        <v/>
      </c>
      <c r="I43" s="455">
        <f>G43/$I$9</f>
        <v/>
      </c>
    </row>
    <row r="44" outlineLevel="1">
      <c r="A44" s="104" t="n">
        <v>323</v>
      </c>
      <c r="B44" s="405" t="inlineStr">
        <is>
          <t>OTHER WALLS</t>
        </is>
      </c>
      <c r="C44" s="406" t="n"/>
      <c r="D44" s="406" t="n"/>
      <c r="E44" s="406" t="n"/>
      <c r="F44" s="406" t="n"/>
      <c r="G44" s="454">
        <f>'4 | Calculation'!G372</f>
        <v/>
      </c>
      <c r="I44" s="455">
        <f>G44/$I$9</f>
        <v/>
      </c>
    </row>
    <row r="45" outlineLevel="1">
      <c r="A45" s="104" t="n">
        <v>330</v>
      </c>
      <c r="B45" s="405" t="inlineStr">
        <is>
          <t>WALL FINISHES</t>
        </is>
      </c>
      <c r="C45" s="451" t="n"/>
      <c r="D45" s="451" t="n"/>
      <c r="E45" s="451" t="n"/>
      <c r="F45" s="451" t="n"/>
      <c r="G45" s="454">
        <f>'4 | Calculation'!G387</f>
        <v/>
      </c>
      <c r="I45" s="455">
        <f>G45/$I$9</f>
        <v/>
      </c>
    </row>
    <row r="46" outlineLevel="1">
      <c r="A46" s="104" t="n">
        <v>340</v>
      </c>
      <c r="B46" s="405" t="inlineStr">
        <is>
          <t>CEILING</t>
        </is>
      </c>
      <c r="C46" s="451" t="n"/>
      <c r="D46" s="451" t="n"/>
      <c r="E46" s="451" t="n"/>
      <c r="F46" s="451" t="n"/>
      <c r="G46" s="454">
        <f>'4 | Calculation'!G404</f>
        <v/>
      </c>
      <c r="I46" s="455">
        <f>G46/$I$9</f>
        <v/>
      </c>
    </row>
    <row r="47" outlineLevel="1">
      <c r="A47" s="104" t="n">
        <v>350</v>
      </c>
      <c r="B47" s="405" t="inlineStr">
        <is>
          <t>LIGHTING</t>
        </is>
      </c>
      <c r="C47" s="451" t="n"/>
      <c r="D47" s="451" t="n"/>
      <c r="E47" s="451" t="n"/>
      <c r="F47" s="451" t="n"/>
      <c r="G47" s="454">
        <f>'4 | Calculation'!G420</f>
        <v/>
      </c>
      <c r="I47" s="455">
        <f>G47/$I$9</f>
        <v/>
      </c>
    </row>
    <row r="48" outlineLevel="1">
      <c r="A48" s="104" t="n">
        <v>360</v>
      </c>
      <c r="B48" s="405" t="inlineStr">
        <is>
          <t>SUN AND LIGHT CONTROL</t>
        </is>
      </c>
      <c r="C48" s="451" t="n"/>
      <c r="D48" s="451" t="n"/>
      <c r="E48" s="451" t="n"/>
      <c r="F48" s="451" t="n"/>
      <c r="G48" s="454">
        <f>'4 | Calculation'!G432</f>
        <v/>
      </c>
      <c r="I48" s="455">
        <f>G48/$I$9</f>
        <v/>
      </c>
    </row>
    <row r="49" outlineLevel="1">
      <c r="A49" s="112" t="n">
        <v>370</v>
      </c>
      <c r="B49" s="405" t="inlineStr">
        <is>
          <t>BESPOKE FURNITURE</t>
        </is>
      </c>
      <c r="C49" s="451" t="n"/>
      <c r="D49" s="451" t="n"/>
      <c r="E49" s="451" t="n"/>
      <c r="F49" s="451" t="n"/>
      <c r="G49" s="454">
        <f>'4 | Calculation'!G453</f>
        <v/>
      </c>
      <c r="I49" s="456">
        <f>G49/$I$9</f>
        <v/>
      </c>
    </row>
    <row r="51">
      <c r="A51" s="101" t="n">
        <v>400</v>
      </c>
      <c r="B51" s="101" t="inlineStr">
        <is>
          <t>FREESTANDING FURNISHINGS &amp; DÉCOR</t>
        </is>
      </c>
      <c r="C51" s="102" t="n"/>
      <c r="D51" s="102" t="n"/>
      <c r="E51" s="102" t="n"/>
      <c r="F51" s="102" t="n"/>
      <c r="G51" s="449">
        <f>SUM(G53:G57)</f>
        <v/>
      </c>
      <c r="I51" s="450">
        <f>SUM(I53:I57)</f>
        <v/>
      </c>
    </row>
    <row r="52" ht="4.35" customHeight="1">
      <c r="I52" s="100" t="n"/>
    </row>
    <row r="53" hidden="1" outlineLevel="1">
      <c r="A53" s="104" t="n">
        <v>410</v>
      </c>
      <c r="B53" s="409" t="inlineStr">
        <is>
          <t>MEUBILAIR</t>
        </is>
      </c>
      <c r="C53" s="451" t="n"/>
      <c r="D53" s="451" t="n"/>
      <c r="E53" s="451" t="n"/>
      <c r="F53" s="451" t="n"/>
      <c r="G53" s="457">
        <f>'4 | Calculation'!G480</f>
        <v/>
      </c>
      <c r="I53" s="453">
        <f>G53/$I$9</f>
        <v/>
      </c>
    </row>
    <row r="54" hidden="1" outlineLevel="1">
      <c r="A54" s="104" t="n">
        <v>420</v>
      </c>
      <c r="B54" s="409" t="inlineStr">
        <is>
          <t>LOSSE INRICHTING</t>
        </is>
      </c>
      <c r="C54" s="451" t="n"/>
      <c r="D54" s="451" t="n"/>
      <c r="E54" s="451" t="n"/>
      <c r="F54" s="451" t="n"/>
      <c r="G54" s="457">
        <f>'4 | Calculation'!G494</f>
        <v/>
      </c>
      <c r="I54" s="455">
        <f>G54/$I$9</f>
        <v/>
      </c>
    </row>
    <row r="55" hidden="1" outlineLevel="1">
      <c r="A55" s="104" t="n">
        <v>430</v>
      </c>
      <c r="B55" s="409" t="inlineStr">
        <is>
          <t>AUDIO VISUELE INSTALLATIE</t>
        </is>
      </c>
      <c r="C55" s="451" t="n"/>
      <c r="D55" s="451" t="n"/>
      <c r="E55" s="451" t="n"/>
      <c r="F55" s="451" t="n"/>
      <c r="G55" s="457">
        <f>'4 | Calculation'!G511</f>
        <v/>
      </c>
      <c r="I55" s="455">
        <f>G55/$I$9</f>
        <v/>
      </c>
    </row>
    <row r="56" hidden="1" outlineLevel="1">
      <c r="A56" s="104" t="n">
        <v>440</v>
      </c>
      <c r="B56" s="409" t="inlineStr">
        <is>
          <t>AKOESTISCHE VOORZIENINGEN</t>
        </is>
      </c>
      <c r="C56" s="451" t="n"/>
      <c r="D56" s="451" t="n"/>
      <c r="E56" s="451" t="n"/>
      <c r="F56" s="451" t="n"/>
      <c r="G56" s="457">
        <f>'4 | Calculation'!G525</f>
        <v/>
      </c>
      <c r="I56" s="455">
        <f>G56/$I$9</f>
        <v/>
      </c>
    </row>
    <row r="57" hidden="1" outlineLevel="1">
      <c r="A57" s="112" t="n">
        <v>450</v>
      </c>
      <c r="B57" s="409" t="inlineStr">
        <is>
          <t>BRANDING, SIGNING, AANKLEDING, STYLING &amp; LICHTREKLAME</t>
        </is>
      </c>
      <c r="C57" s="451" t="n"/>
      <c r="D57" s="451" t="n"/>
      <c r="E57" s="451" t="n"/>
      <c r="F57" s="451" t="n"/>
      <c r="G57" s="457">
        <f>'4 | Calculation'!G543</f>
        <v/>
      </c>
      <c r="I57" s="456">
        <f>G57/$I$9</f>
        <v/>
      </c>
    </row>
    <row r="58" collapsed="1"/>
    <row r="59">
      <c r="A59" s="101" t="n">
        <v>500</v>
      </c>
      <c r="B59" s="101" t="inlineStr">
        <is>
          <t>MISCELLANEOUS</t>
        </is>
      </c>
      <c r="C59" s="102" t="n"/>
      <c r="D59" s="102" t="n"/>
      <c r="E59" s="102" t="n"/>
      <c r="F59" s="102" t="n"/>
      <c r="G59" s="449">
        <f>SUM(G61:G63)</f>
        <v/>
      </c>
      <c r="I59" s="450">
        <f>SUM(I61:I63)</f>
        <v/>
      </c>
    </row>
    <row r="60" ht="4.35" customHeight="1">
      <c r="I60" s="100" t="n"/>
    </row>
    <row r="61" outlineLevel="1">
      <c r="A61" s="118" t="n">
        <v>510</v>
      </c>
      <c r="B61" s="407" t="inlineStr">
        <is>
          <t>SPECIAL FEATURES</t>
        </is>
      </c>
      <c r="C61" s="451" t="n"/>
      <c r="D61" s="451" t="n"/>
      <c r="E61" s="451" t="n"/>
      <c r="F61" s="451" t="n"/>
      <c r="G61" s="458">
        <f>'4 | Calculation'!G559</f>
        <v/>
      </c>
      <c r="I61" s="453">
        <f>G61/$I$9</f>
        <v/>
      </c>
    </row>
    <row r="62" outlineLevel="1">
      <c r="A62" s="104" t="n">
        <v>520</v>
      </c>
      <c r="B62" s="405" t="inlineStr">
        <is>
          <t>RELOCATION</t>
        </is>
      </c>
      <c r="C62" s="451" t="n"/>
      <c r="D62" s="451" t="n"/>
      <c r="E62" s="451" t="n"/>
      <c r="F62" s="451" t="n"/>
      <c r="G62" s="459">
        <f>'4 | Calculation'!G569</f>
        <v/>
      </c>
      <c r="I62" s="455">
        <f>G62/$I$9</f>
        <v/>
      </c>
    </row>
    <row r="63" outlineLevel="1">
      <c r="A63" s="121" t="n">
        <v>530</v>
      </c>
      <c r="B63" s="407" t="inlineStr">
        <is>
          <t>WARRANTY &amp; SERVICE RECORDS</t>
        </is>
      </c>
      <c r="C63" s="451" t="n"/>
      <c r="D63" s="451" t="n"/>
      <c r="E63" s="451" t="n"/>
      <c r="F63" s="451" t="n"/>
      <c r="G63" s="459">
        <f>'4 | Calculation'!G576</f>
        <v/>
      </c>
      <c r="I63" s="456">
        <f>G63/$I$9</f>
        <v/>
      </c>
    </row>
    <row r="65">
      <c r="A65" s="101" t="n">
        <v>600</v>
      </c>
      <c r="B65" s="101" t="inlineStr">
        <is>
          <t>CONSULTANCY, DESIGN &amp; PROJECT MANAGEMENT</t>
        </is>
      </c>
      <c r="C65" s="102" t="n"/>
      <c r="D65" s="102" t="n"/>
      <c r="E65" s="102" t="n"/>
      <c r="F65" s="102" t="n"/>
      <c r="G65" s="449">
        <f>SUM(G67:G68)</f>
        <v/>
      </c>
      <c r="I65" s="450">
        <f>SUM(I67:I68)</f>
        <v/>
      </c>
    </row>
    <row r="66" ht="4.35" customHeight="1">
      <c r="I66" s="100" t="n"/>
    </row>
    <row r="67" outlineLevel="1">
      <c r="A67" s="104" t="n">
        <v>610</v>
      </c>
      <c r="B67" s="405" t="inlineStr">
        <is>
          <t>DESIGN &amp; PROJECT MANAGEMENT</t>
        </is>
      </c>
      <c r="C67" s="451" t="n"/>
      <c r="D67" s="451" t="n"/>
      <c r="E67" s="451" t="n"/>
      <c r="F67" s="451" t="n"/>
      <c r="G67" s="459">
        <f>'4 | Calculation'!G586</f>
        <v/>
      </c>
      <c r="I67" s="453">
        <f>G67/$I$9</f>
        <v/>
      </c>
    </row>
    <row r="68" outlineLevel="1">
      <c r="A68" s="112" t="n">
        <v>620</v>
      </c>
      <c r="B68" s="405" t="inlineStr">
        <is>
          <t>CONSULTANTS</t>
        </is>
      </c>
      <c r="C68" s="451" t="n"/>
      <c r="D68" s="451" t="n"/>
      <c r="E68" s="451" t="n"/>
      <c r="F68" s="451" t="n"/>
      <c r="G68" s="459">
        <f>'4 | Calculation'!G602</f>
        <v/>
      </c>
      <c r="I68" s="456">
        <f>G68/$I$9</f>
        <v/>
      </c>
    </row>
    <row r="70">
      <c r="A70" s="101" t="n">
        <v>700</v>
      </c>
      <c r="B70" s="101" t="inlineStr">
        <is>
          <t>OTHER</t>
        </is>
      </c>
      <c r="C70" s="102" t="n"/>
      <c r="D70" s="102" t="n"/>
      <c r="E70" s="102" t="n"/>
      <c r="F70" s="102" t="n"/>
      <c r="G70" s="449">
        <f>SUM(G72:G74)</f>
        <v/>
      </c>
      <c r="I70" s="450">
        <f>SUM(I72:I74)</f>
        <v/>
      </c>
    </row>
    <row r="71" ht="4.35" customHeight="1">
      <c r="I71" s="100" t="n"/>
    </row>
    <row r="72" outlineLevel="1">
      <c r="A72" s="104" t="n">
        <v>710</v>
      </c>
      <c r="B72" s="405" t="inlineStr">
        <is>
          <t>UNFORSEEN</t>
        </is>
      </c>
      <c r="C72" s="451" t="n"/>
      <c r="D72" s="451" t="n"/>
      <c r="E72" s="451" t="n"/>
      <c r="F72" s="451" t="n"/>
      <c r="G72" s="459">
        <f>'4 | Calculation'!G608</f>
        <v/>
      </c>
      <c r="I72" s="453">
        <f>G72/$I$9</f>
        <v/>
      </c>
    </row>
    <row r="73" outlineLevel="1">
      <c r="A73" s="104" t="n">
        <v>720</v>
      </c>
      <c r="B73" s="405" t="inlineStr">
        <is>
          <t>STORAGE</t>
        </is>
      </c>
      <c r="C73" s="451" t="n"/>
      <c r="D73" s="451" t="n"/>
      <c r="E73" s="451" t="n"/>
      <c r="F73" s="451" t="n"/>
      <c r="G73" s="459">
        <f>'4 | Calculation'!G614</f>
        <v/>
      </c>
      <c r="I73" s="455">
        <f>G73/$I$9</f>
        <v/>
      </c>
    </row>
    <row r="74" outlineLevel="1">
      <c r="A74" s="112" t="n">
        <v>730</v>
      </c>
      <c r="B74" s="405" t="inlineStr">
        <is>
          <t>INSURANCE</t>
        </is>
      </c>
      <c r="C74" s="451" t="n"/>
      <c r="D74" s="451" t="n"/>
      <c r="E74" s="451" t="n"/>
      <c r="F74" s="451" t="n"/>
      <c r="G74" s="459">
        <f>'4 | Calculation'!G618</f>
        <v/>
      </c>
      <c r="I74" s="456">
        <f>G74/$I$9</f>
        <v/>
      </c>
    </row>
    <row r="75" outlineLevel="1">
      <c r="A75" s="364" t="n">
        <v>740</v>
      </c>
      <c r="B75" s="365" t="inlineStr">
        <is>
          <t>AFTERCARE</t>
        </is>
      </c>
      <c r="C75" s="365" t="n"/>
      <c r="D75" s="365" t="n"/>
      <c r="E75" s="365" t="n"/>
      <c r="F75" s="365" t="n"/>
      <c r="G75" s="460">
        <f>'4 | Calculation'!G620</f>
        <v/>
      </c>
      <c r="I75" s="461" t="n"/>
    </row>
    <row r="77">
      <c r="A77" s="101" t="n">
        <v>800</v>
      </c>
      <c r="B77" s="101" t="inlineStr">
        <is>
          <t>TOTAL (€), EXCLUSIVE VAT</t>
        </is>
      </c>
      <c r="C77" s="102" t="n"/>
      <c r="D77" s="102" t="n"/>
      <c r="E77" s="102" t="n"/>
      <c r="F77" s="102" t="n"/>
      <c r="G77" s="449">
        <f>SUM(G14:G74)/2</f>
        <v/>
      </c>
      <c r="I77" s="450">
        <f>SUM(I14:I74)/2</f>
        <v/>
      </c>
    </row>
    <row r="78">
      <c r="F78" s="122" t="n"/>
      <c r="G78" s="462" t="n"/>
    </row>
  </sheetData>
  <sheetProtection selectLockedCells="1" selectUnlockedCells="1" algorithmName="SHA-512" sheet="1" objects="0" insertRows="1" insertHyperlinks="1" autoFilter="0" scenarios="0" formatColumns="1" deleteColumns="1" insertColumns="1" pivotTables="1" deleteRows="1" formatCells="1" saltValue="ETsH/6/VregxdLWWGa98tg==" formatRows="0" sort="0" spinCount="100000" hashValue="/3YesOuh1w7Fly/3S2NeIQsM6JICphPNDb0UGjcizRQbFMRA9rbp0U7lx7yzFOd4FZZw5/WYpjfbLGYKl9VTyQ=="/>
  <mergeCells count="33">
    <mergeCell ref="B47:F47"/>
    <mergeCell ref="B16:F16"/>
    <mergeCell ref="B62:F62"/>
    <mergeCell ref="B54:F54"/>
    <mergeCell ref="B72:F72"/>
    <mergeCell ref="B31:F31"/>
    <mergeCell ref="B46:F46"/>
    <mergeCell ref="I7:I8"/>
    <mergeCell ref="B56:F56"/>
    <mergeCell ref="B48:F48"/>
    <mergeCell ref="B42:F42"/>
    <mergeCell ref="B67:F67"/>
    <mergeCell ref="B23:F23"/>
    <mergeCell ref="B61:F61"/>
    <mergeCell ref="B17:F17"/>
    <mergeCell ref="B57:F57"/>
    <mergeCell ref="B53:F53"/>
    <mergeCell ref="B29:F29"/>
    <mergeCell ref="B73:F73"/>
    <mergeCell ref="B38:F38"/>
    <mergeCell ref="B34:F34"/>
    <mergeCell ref="D8:D9"/>
    <mergeCell ref="B74:F74"/>
    <mergeCell ref="B49:F49"/>
    <mergeCell ref="B30:F30"/>
    <mergeCell ref="B68:F68"/>
    <mergeCell ref="A7:A9"/>
    <mergeCell ref="B55:F55"/>
    <mergeCell ref="B33:F33"/>
    <mergeCell ref="B45:F45"/>
    <mergeCell ref="B63:F63"/>
    <mergeCell ref="C11:F11"/>
    <mergeCell ref="B32:F32"/>
  </mergeCells>
  <conditionalFormatting sqref="C8">
    <cfRule type="cellIs" priority="3" operator="equal" dxfId="43">
      <formula>"Kostencalculatie (D&amp;B) / DO Kostenraming (PM)"</formula>
    </cfRule>
  </conditionalFormatting>
  <conditionalFormatting sqref="C9">
    <cfRule type="cellIs" priority="5" operator="equal" dxfId="1">
      <formula>"Versie XXX"</formula>
    </cfRule>
  </conditionalFormatting>
  <conditionalFormatting sqref="C7:G7">
    <cfRule type="cellIs" priority="6" operator="equal" dxfId="1">
      <formula>"Projectnummer + Naam"</formula>
    </cfRule>
  </conditionalFormatting>
  <conditionalFormatting sqref="F8:G8">
    <cfRule type="cellIs" priority="4" operator="equal" dxfId="1">
      <formula>"dd-mm-jjjj"</formula>
    </cfRule>
  </conditionalFormatting>
  <conditionalFormatting sqref="G14 G16:G25 G27 G29:G34 G36 G38:G49 G51 G53:G57 G59 G61:G63 G65 G67:G68 G70 G72:G75">
    <cfRule type="cellIs" priority="7" operator="equal" dxfId="0">
      <formula>0</formula>
    </cfRule>
  </conditionalFormatting>
  <conditionalFormatting sqref="G77">
    <cfRule type="cellIs" priority="1" operator="equal" dxfId="0">
      <formula>0</formula>
    </cfRule>
  </conditionalFormatting>
  <pageMargins left="0.7086614173228347" right="0.7086614173228347" top="0.6299212598425197" bottom="0.7480314960629921" header="0.3149606299212598" footer="0.3149606299212598"/>
  <pageSetup orientation="portrait" paperSize="9" scale="68" fitToHeight="0"/>
  <rowBreaks count="1" manualBreakCount="1">
    <brk id="80" min="0" max="16383" man="1"/>
  </rowBreaks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6:V643"/>
  <sheetViews>
    <sheetView tabSelected="1" view="pageBreakPreview" topLeftCell="B1" zoomScale="97" zoomScaleNormal="100" zoomScaleSheetLayoutView="100" workbookViewId="0">
      <pane xSplit="2" ySplit="10" topLeftCell="D11" activePane="bottomRight" state="frozen"/>
      <selection activeCell="B1" sqref="B1"/>
      <selection pane="topRight" activeCell="D1" sqref="D1"/>
      <selection pane="bottomLeft" activeCell="B11" sqref="B11"/>
      <selection pane="bottomRight" activeCell="Q24" sqref="P24:Q24"/>
    </sheetView>
  </sheetViews>
  <sheetFormatPr baseColWidth="8" defaultColWidth="8.75" defaultRowHeight="12.75" outlineLevelRow="2"/>
  <cols>
    <col width="4.75" customWidth="1" style="87" min="1" max="1"/>
    <col width="4.125" customWidth="1" style="87" min="2" max="2"/>
    <col width="67.375" customWidth="1" style="87" min="3" max="3"/>
    <col width="8.125" customWidth="1" style="87" min="4" max="4"/>
    <col width="8.625" customWidth="1" style="87" min="5" max="5"/>
    <col width="10.75" customWidth="1" style="87" min="6" max="6"/>
    <col width="15.125" customWidth="1" style="87" min="7" max="7"/>
    <col width="1" customWidth="1" style="87" min="8" max="8"/>
    <col outlineLevel="1" width="11.75" customWidth="1" style="100" min="9" max="9"/>
    <col width="1" customWidth="1" style="87" min="10" max="10"/>
    <col outlineLevel="1" width="6.875" customWidth="1" style="87" min="11" max="11"/>
    <col outlineLevel="1" width="11" customWidth="1" style="87" min="12" max="12"/>
    <col outlineLevel="1" width="15.375" customWidth="1" style="87" min="13" max="13"/>
    <col width="8.75" customWidth="1" style="87" min="14" max="14"/>
    <col width="13.125" customWidth="1" style="87" min="15" max="15"/>
    <col width="8.75" customWidth="1" style="87" min="16" max="16"/>
    <col width="0.75" customWidth="1" style="87" min="17" max="17"/>
    <col width="11.875" customWidth="1" style="87" min="18" max="18"/>
    <col width="10.125" customWidth="1" style="87" min="19" max="19"/>
    <col width="10.5" bestFit="1" customWidth="1" style="87" min="20" max="20"/>
    <col width="8.75" customWidth="1" style="87" min="21" max="16384"/>
  </cols>
  <sheetData>
    <row r="6">
      <c r="L6" s="135" t="inlineStr">
        <is>
          <t>Verborgen opslagen</t>
        </is>
      </c>
    </row>
    <row r="7" ht="24.75" customFormat="1" customHeight="1" s="139">
      <c r="A7" s="443" t="inlineStr">
        <is>
          <t>PROJECT</t>
        </is>
      </c>
      <c r="B7" s="136" t="n"/>
      <c r="C7" s="37">
        <f>'2 | Basic principles'!C7</f>
        <v/>
      </c>
      <c r="D7" s="443" t="inlineStr">
        <is>
          <t>DATE</t>
        </is>
      </c>
      <c r="E7" s="137" t="n"/>
      <c r="F7" s="138" t="n"/>
      <c r="H7" s="140" t="n"/>
      <c r="I7" s="141" t="n"/>
      <c r="J7" s="142" t="n"/>
      <c r="K7" s="463" t="inlineStr">
        <is>
          <t>INFORMATIE</t>
        </is>
      </c>
      <c r="L7" s="143" t="inlineStr">
        <is>
          <t>Opslag inkoop</t>
        </is>
      </c>
      <c r="M7" s="144">
        <f>((V9*1)+1)*((V10*1)+1)*((V11*1)+1)*((V12*1)+1)</f>
        <v/>
      </c>
      <c r="O7" s="464" t="inlineStr">
        <is>
          <t>TOTAALBEDRAG</t>
        </is>
      </c>
      <c r="P7" s="465" t="n"/>
      <c r="Q7" s="145" t="n"/>
      <c r="T7" s="146" t="n"/>
      <c r="U7" s="147" t="n"/>
      <c r="V7" s="148" t="n"/>
    </row>
    <row r="8" ht="24.75" customHeight="1">
      <c r="A8" s="444" t="n"/>
      <c r="B8" s="136" t="n"/>
      <c r="C8" s="37">
        <f>'2 | Basic principles'!C8</f>
        <v/>
      </c>
      <c r="D8" s="444" t="n"/>
      <c r="E8" s="87" t="inlineStr">
        <is>
          <t>Line-up</t>
        </is>
      </c>
      <c r="F8" s="40">
        <f>'2 | Basic principles'!F8</f>
        <v/>
      </c>
      <c r="G8" s="149" t="n"/>
      <c r="H8" s="140" t="n"/>
      <c r="J8" s="150" t="n"/>
      <c r="K8" s="444" t="n"/>
      <c r="L8" s="151" t="inlineStr">
        <is>
          <t>Afronding</t>
        </is>
      </c>
      <c r="M8" s="466" t="n">
        <v>1</v>
      </c>
      <c r="O8" s="467">
        <f>G623</f>
        <v/>
      </c>
      <c r="P8" s="468" t="n"/>
      <c r="Q8" s="469" t="n"/>
      <c r="T8" s="470" t="inlineStr">
        <is>
          <t>Verborgen opslagen</t>
        </is>
      </c>
      <c r="U8" s="471" t="n"/>
      <c r="V8" s="472" t="n"/>
    </row>
    <row r="9" ht="24.75" customHeight="1">
      <c r="A9" s="446" t="n"/>
      <c r="B9" s="136" t="n"/>
      <c r="C9" s="37">
        <f>'2 | Basic principles'!C9</f>
        <v/>
      </c>
      <c r="D9" s="446" t="n"/>
      <c r="E9" s="154" t="inlineStr">
        <is>
          <t>Change</t>
        </is>
      </c>
      <c r="F9" s="92" t="inlineStr">
        <is>
          <t>dd-mm-jjjj</t>
        </is>
      </c>
      <c r="G9" s="149" t="n"/>
      <c r="H9" s="140" t="n"/>
      <c r="J9" s="150" t="n"/>
      <c r="K9" s="446" t="n"/>
      <c r="L9" s="155" t="inlineStr">
        <is>
          <t>Opslag uren</t>
        </is>
      </c>
      <c r="M9" s="156" t="n">
        <v>1.1</v>
      </c>
      <c r="O9" s="473">
        <f>'2 | Basic principles'!E27</f>
        <v/>
      </c>
      <c r="P9" s="474" t="n"/>
      <c r="Q9" s="475" t="n"/>
      <c r="R9" s="160" t="inlineStr">
        <is>
          <t>m²</t>
        </is>
      </c>
      <c r="T9" s="161" t="inlineStr">
        <is>
          <t>Verborgen opslag</t>
        </is>
      </c>
      <c r="U9" s="162" t="n"/>
      <c r="V9" s="163" t="n">
        <v>0.1</v>
      </c>
    </row>
    <row r="10" ht="11.25" customHeight="1">
      <c r="O10" s="476">
        <f>O8/O9</f>
        <v/>
      </c>
      <c r="R10" s="160" t="inlineStr">
        <is>
          <t>/m²</t>
        </is>
      </c>
      <c r="T10" s="161" t="inlineStr">
        <is>
          <t>Onvoorzien</t>
        </is>
      </c>
      <c r="U10" s="162" t="n"/>
      <c r="V10" s="163" t="n">
        <v>0.04</v>
      </c>
    </row>
    <row r="11" ht="11.25" customHeight="1">
      <c r="O11" s="476" t="n"/>
      <c r="R11" s="160" t="n"/>
      <c r="T11" s="161" t="n"/>
      <c r="U11" s="162" t="n"/>
      <c r="V11" s="163" t="n"/>
    </row>
    <row r="12">
      <c r="A12" s="165" t="inlineStr">
        <is>
          <t>Code</t>
        </is>
      </c>
      <c r="B12" s="413" t="n"/>
      <c r="C12" s="275" t="inlineStr">
        <is>
          <t>Description</t>
        </is>
      </c>
      <c r="D12" s="275" t="inlineStr">
        <is>
          <t>Unit</t>
        </is>
      </c>
      <c r="E12" s="275" t="inlineStr">
        <is>
          <t>Number</t>
        </is>
      </c>
      <c r="F12" s="275" t="inlineStr">
        <is>
          <t>€/unit</t>
        </is>
      </c>
      <c r="G12" s="413" t="inlineStr">
        <is>
          <t>Total €.</t>
        </is>
      </c>
      <c r="H12" s="97" t="n"/>
      <c r="I12" s="413" t="inlineStr">
        <is>
          <t>Party</t>
        </is>
      </c>
      <c r="J12" s="97" t="n"/>
      <c r="K12" s="166" t="inlineStr">
        <is>
          <t>Aant.</t>
        </is>
      </c>
      <c r="L12" s="166" t="inlineStr">
        <is>
          <t>€/Eenh.</t>
        </is>
      </c>
      <c r="M12" s="167" t="inlineStr">
        <is>
          <t>Totaal €.</t>
        </is>
      </c>
      <c r="O12" s="168" t="inlineStr">
        <is>
          <t>OPMERKING &amp; TOELICHTING</t>
        </is>
      </c>
      <c r="P12" s="168" t="n"/>
      <c r="Q12" s="475" t="n"/>
      <c r="T12" s="161" t="n"/>
      <c r="U12" s="162" t="n"/>
      <c r="V12" s="163" t="n"/>
    </row>
    <row r="13" ht="3.75" customFormat="1" customHeight="1" s="154">
      <c r="A13" s="169" t="n"/>
      <c r="B13" s="276" t="n"/>
      <c r="C13" s="276" t="n"/>
      <c r="D13" s="276" t="n"/>
      <c r="E13" s="276" t="n"/>
      <c r="F13" s="276" t="n"/>
      <c r="G13" s="276" t="n"/>
      <c r="H13" s="276" t="n"/>
      <c r="I13" s="276" t="n"/>
      <c r="J13" s="276" t="n"/>
      <c r="K13" s="170" t="n"/>
      <c r="L13" s="171" t="n"/>
      <c r="M13" s="172" t="n"/>
      <c r="T13" s="173" t="n"/>
      <c r="U13" s="174" t="n"/>
      <c r="V13" s="175" t="n"/>
    </row>
    <row r="14" ht="4.35" customHeight="1"/>
    <row r="15">
      <c r="A15" s="176" t="n">
        <v>100</v>
      </c>
      <c r="B15" s="101" t="inlineStr">
        <is>
          <t>CONSTRUCTION WORKS &amp; CONSTRUCTION SITE</t>
        </is>
      </c>
      <c r="C15" s="102" t="n"/>
      <c r="D15" s="102" t="n"/>
      <c r="E15" s="102" t="n"/>
      <c r="F15" s="102" t="n"/>
      <c r="G15" s="102" t="n"/>
      <c r="H15" s="277" t="n"/>
      <c r="I15" s="278" t="n"/>
      <c r="J15" s="277" t="n"/>
      <c r="K15" s="177" t="n"/>
      <c r="L15" s="177" t="n"/>
      <c r="M15" s="178" t="n"/>
    </row>
    <row r="16" ht="4.35" customHeight="1"/>
    <row r="17" outlineLevel="2">
      <c r="A17" s="179" t="n">
        <v>110</v>
      </c>
      <c r="B17" s="279" t="inlineStr">
        <is>
          <t>CONSTRUCTION SITE SET-UP &amp; SUPERVISION</t>
        </is>
      </c>
      <c r="C17" s="280" t="n"/>
      <c r="D17" s="280" t="n"/>
      <c r="E17" s="280" t="n"/>
      <c r="F17" s="280" t="n"/>
      <c r="G17" s="280" t="n"/>
      <c r="H17" s="281" t="n"/>
      <c r="I17" s="282" t="n"/>
      <c r="J17" s="281" t="n"/>
      <c r="K17" s="180" t="n"/>
      <c r="L17" s="180" t="n"/>
      <c r="M17" s="181" t="n"/>
    </row>
    <row r="18" outlineLevel="2" ht="25.5" customHeight="1">
      <c r="A18" s="182" t="n"/>
      <c r="B18" s="183" t="n">
        <v>1</v>
      </c>
      <c r="C18" s="184" t="inlineStr">
        <is>
          <t>Construction site facilities (meeting and canteen area, coffee, toilets and washrooms, etc.).</t>
        </is>
      </c>
      <c r="D18" s="185" t="inlineStr">
        <is>
          <t>stelpost</t>
        </is>
      </c>
      <c r="E18" s="186">
        <f>K18</f>
        <v/>
      </c>
      <c r="F18" s="477">
        <f>CEILING(L18*$M$7,$M$8)</f>
        <v/>
      </c>
      <c r="G18" s="477">
        <f>ROUND(E18*F18,0)</f>
        <v/>
      </c>
      <c r="H18" s="188" t="n"/>
      <c r="I18" s="189" t="inlineStr">
        <is>
          <t>Bouwkundige</t>
        </is>
      </c>
      <c r="J18" s="188" t="n"/>
      <c r="K18" s="478" t="n">
        <v>0</v>
      </c>
      <c r="L18" s="479" t="n">
        <v>500</v>
      </c>
      <c r="M18" s="480">
        <f>K18*L18</f>
        <v/>
      </c>
    </row>
    <row r="19" outlineLevel="2">
      <c r="A19" s="182" t="n"/>
      <c r="B19" s="183" t="n">
        <v>2</v>
      </c>
      <c r="C19" s="184" t="inlineStr">
        <is>
          <t>Safety equipment</t>
        </is>
      </c>
      <c r="D19" s="185" t="inlineStr">
        <is>
          <t>stelpost</t>
        </is>
      </c>
      <c r="E19" s="186">
        <f>K19</f>
        <v/>
      </c>
      <c r="F19" s="477">
        <f>CEILING(L19*$M$7,$M$8)</f>
        <v/>
      </c>
      <c r="G19" s="477">
        <f>ROUND(E19*F19,0)</f>
        <v/>
      </c>
      <c r="H19" s="188" t="n"/>
      <c r="I19" s="189" t="inlineStr">
        <is>
          <t>Bouwkundige</t>
        </is>
      </c>
      <c r="J19" s="188" t="n"/>
      <c r="K19" s="478" t="n">
        <v>0</v>
      </c>
      <c r="L19" s="481" t="n">
        <v>1358</v>
      </c>
      <c r="M19" s="480">
        <f>K19*L19</f>
        <v/>
      </c>
    </row>
    <row r="20" outlineLevel="2" ht="25.5" customHeight="1">
      <c r="A20" s="182" t="n"/>
      <c r="B20" s="183" t="n">
        <v>3</v>
      </c>
      <c r="C20" s="184" t="inlineStr">
        <is>
          <t>Construction site security (e.g. BouWatch or security guard who walks an opening/closing round each day).</t>
        </is>
      </c>
      <c r="D20" s="185" t="inlineStr">
        <is>
          <t>stelpost</t>
        </is>
      </c>
      <c r="E20" s="186">
        <f>K20</f>
        <v/>
      </c>
      <c r="F20" s="477">
        <f>CEILING(L20*$M$7,$M$8)</f>
        <v/>
      </c>
      <c r="G20" s="477">
        <f>ROUND(E20*F20,0)</f>
        <v/>
      </c>
      <c r="H20" s="188" t="n"/>
      <c r="I20" s="189" t="inlineStr">
        <is>
          <t>Bouwkundige</t>
        </is>
      </c>
      <c r="J20" s="188" t="n"/>
      <c r="K20" s="478" t="n">
        <v>0</v>
      </c>
      <c r="L20" s="481" t="n">
        <v>1254</v>
      </c>
      <c r="M20" s="480">
        <f>K20*L20</f>
        <v/>
      </c>
    </row>
    <row r="21" outlineLevel="2">
      <c r="A21" s="182" t="n"/>
      <c r="B21" s="183" t="n">
        <v>4</v>
      </c>
      <c r="C21" s="184" t="inlineStr">
        <is>
          <t>Guarding (+ lift cladding), covers and dust barriers.</t>
        </is>
      </c>
      <c r="D21" s="185" t="inlineStr">
        <is>
          <t>stelpost</t>
        </is>
      </c>
      <c r="E21" s="186">
        <f>K21</f>
        <v/>
      </c>
      <c r="F21" s="477">
        <f>CEILING(L21*$M$7,$M$8)</f>
        <v/>
      </c>
      <c r="G21" s="477">
        <f>ROUND(E21*F21,0)</f>
        <v/>
      </c>
      <c r="H21" s="188" t="n"/>
      <c r="I21" s="189" t="inlineStr">
        <is>
          <t>Bouwkundige</t>
        </is>
      </c>
      <c r="J21" s="188" t="n"/>
      <c r="K21" s="478" t="n">
        <v>0</v>
      </c>
      <c r="L21" s="481" t="n">
        <v>600</v>
      </c>
      <c r="M21" s="480">
        <f>K21*L21</f>
        <v/>
      </c>
    </row>
    <row r="22" outlineLevel="2">
      <c r="A22" s="182" t="n"/>
      <c r="B22" s="183" t="n">
        <v>5</v>
      </c>
      <c r="C22" s="184" t="inlineStr">
        <is>
          <t>Cleaning during construction.</t>
        </is>
      </c>
      <c r="D22" s="185" t="inlineStr">
        <is>
          <t>stelpost</t>
        </is>
      </c>
      <c r="E22" s="186">
        <f>K22</f>
        <v/>
      </c>
      <c r="F22" s="477">
        <f>CEILING(L22*$M$7,$M$8)</f>
        <v/>
      </c>
      <c r="G22" s="477">
        <f>ROUND(E22*F22,0)</f>
        <v/>
      </c>
      <c r="H22" s="188" t="n"/>
      <c r="I22" s="189" t="inlineStr">
        <is>
          <t>Bouwkundige</t>
        </is>
      </c>
      <c r="J22" s="188" t="n"/>
      <c r="K22" s="478" t="n">
        <v>0</v>
      </c>
      <c r="L22" s="481" t="n">
        <v>2380</v>
      </c>
      <c r="M22" s="480">
        <f>K22*L22</f>
        <v/>
      </c>
    </row>
    <row r="23" outlineLevel="2">
      <c r="A23" s="182" t="n"/>
      <c r="B23" s="183" t="n">
        <v>6</v>
      </c>
      <c r="C23" s="184" t="inlineStr">
        <is>
          <t>Final cleaning before delivery.</t>
        </is>
      </c>
      <c r="D23" s="185" t="inlineStr">
        <is>
          <t>stelpost</t>
        </is>
      </c>
      <c r="E23" s="186">
        <f>K23</f>
        <v/>
      </c>
      <c r="F23" s="477">
        <f>CEILING(L23*$M$7,$M$8)</f>
        <v/>
      </c>
      <c r="G23" s="477">
        <f>ROUND(E23*F23,0)</f>
        <v/>
      </c>
      <c r="H23" s="188" t="n"/>
      <c r="I23" s="189" t="inlineStr">
        <is>
          <t>Bouwkundige</t>
        </is>
      </c>
      <c r="J23" s="188" t="n"/>
      <c r="K23" s="478" t="n">
        <v>0</v>
      </c>
      <c r="L23" s="481" t="n">
        <v>3990</v>
      </c>
      <c r="M23" s="480">
        <f>K23*L23</f>
        <v/>
      </c>
    </row>
    <row r="24" outlineLevel="2" ht="25.5" customHeight="1">
      <c r="A24" s="182" t="n"/>
      <c r="B24" s="183" t="n">
        <v>7</v>
      </c>
      <c r="C24" s="184" t="inlineStr">
        <is>
          <t>Vertical transport: opening/protecting the façade, temporary provisions, hoisting or provisions for other types of vertical transport.</t>
        </is>
      </c>
      <c r="D24" s="185" t="inlineStr">
        <is>
          <t>stelpost</t>
        </is>
      </c>
      <c r="E24" s="186">
        <f>K24</f>
        <v/>
      </c>
      <c r="F24" s="477">
        <f>CEILING(L24*$M$7,$M$8)</f>
        <v/>
      </c>
      <c r="G24" s="477">
        <f>ROUND(E24*F24,0)</f>
        <v/>
      </c>
      <c r="H24" s="188" t="n"/>
      <c r="I24" s="189" t="inlineStr">
        <is>
          <t>Bouwkundige</t>
        </is>
      </c>
      <c r="J24" s="188" t="n"/>
      <c r="K24" s="478" t="n">
        <v>0</v>
      </c>
      <c r="L24" s="481" t="n">
        <v>1456</v>
      </c>
      <c r="M24" s="480">
        <f>K24*L24</f>
        <v/>
      </c>
    </row>
    <row r="25" hidden="1" outlineLevel="2">
      <c r="A25" s="182" t="n"/>
      <c r="B25" s="183" t="n">
        <v>8</v>
      </c>
      <c r="C25" s="184" t="inlineStr">
        <is>
          <t>Opening and closing the façade (including temporary provisions).</t>
        </is>
      </c>
      <c r="D25" s="185" t="inlineStr">
        <is>
          <t>post</t>
        </is>
      </c>
      <c r="E25" s="186">
        <f>K25</f>
        <v/>
      </c>
      <c r="F25" s="477">
        <f>CEILING(L25*$M$7,$M$8)</f>
        <v/>
      </c>
      <c r="G25" s="477">
        <f>ROUND(E25*F25,0)</f>
        <v/>
      </c>
      <c r="H25" s="188" t="n"/>
      <c r="I25" s="189" t="inlineStr">
        <is>
          <t>Bouwkundige</t>
        </is>
      </c>
      <c r="J25" s="188" t="n"/>
      <c r="K25" s="478" t="n">
        <v>0</v>
      </c>
      <c r="L25" s="481" t="n">
        <v>0</v>
      </c>
      <c r="M25" s="480">
        <f>K25*L25</f>
        <v/>
      </c>
    </row>
    <row r="26" hidden="1" outlineLevel="2">
      <c r="A26" s="182" t="n"/>
      <c r="B26" s="183" t="n">
        <v>9</v>
      </c>
      <c r="C26" s="184" t="inlineStr">
        <is>
          <t xml:space="preserve">Other costs such as work preparation, execution and site foreman. </t>
        </is>
      </c>
      <c r="D26" s="185" t="inlineStr">
        <is>
          <t>post</t>
        </is>
      </c>
      <c r="E26" s="186">
        <f>K26</f>
        <v/>
      </c>
      <c r="F26" s="477">
        <f>CEILING(L26*$M$7,$M$8)</f>
        <v/>
      </c>
      <c r="G26" s="477">
        <f>ROUND(E26*F26,0)</f>
        <v/>
      </c>
      <c r="H26" s="194" t="n"/>
      <c r="I26" s="189" t="inlineStr">
        <is>
          <t>Bouwkundige</t>
        </is>
      </c>
      <c r="J26" s="194" t="n"/>
      <c r="K26" s="478" t="n">
        <v>0</v>
      </c>
      <c r="L26" s="481" t="n">
        <v>0</v>
      </c>
      <c r="M26" s="480">
        <f>K26*L26</f>
        <v/>
      </c>
    </row>
    <row r="27" hidden="1" outlineLevel="2">
      <c r="A27" s="182" t="n"/>
      <c r="B27" s="183" t="n">
        <v>10</v>
      </c>
      <c r="C27" s="184" t="inlineStr">
        <is>
          <t xml:space="preserve">Trash containers and scaffolding </t>
        </is>
      </c>
      <c r="D27" s="185" t="inlineStr">
        <is>
          <t>p.m.</t>
        </is>
      </c>
      <c r="E27" s="186">
        <f>K27*M9</f>
        <v/>
      </c>
      <c r="F27" s="477">
        <f>CEILING(L27,$M$8)</f>
        <v/>
      </c>
      <c r="G27" s="477">
        <f>ROUND(E27*F27,0)</f>
        <v/>
      </c>
      <c r="H27" s="194" t="n"/>
      <c r="I27" s="189" t="inlineStr">
        <is>
          <t>Bouwkundige</t>
        </is>
      </c>
      <c r="J27" s="194" t="n"/>
      <c r="K27" s="478" t="n">
        <v>0</v>
      </c>
      <c r="L27" s="481" t="n">
        <v>0</v>
      </c>
      <c r="M27" s="480">
        <f>K27*L27</f>
        <v/>
      </c>
    </row>
    <row r="28" hidden="1" outlineLevel="2">
      <c r="A28" s="182" t="n"/>
      <c r="B28" s="183" t="n">
        <v>11</v>
      </c>
      <c r="C28" s="184" t="n"/>
      <c r="D28" s="185" t="inlineStr">
        <is>
          <t>post</t>
        </is>
      </c>
      <c r="E28" s="186">
        <f>K28</f>
        <v/>
      </c>
      <c r="F28" s="477">
        <f>CEILING(L28*$M$7,$M$8)</f>
        <v/>
      </c>
      <c r="G28" s="477">
        <f>ROUND(E28*F28,0)</f>
        <v/>
      </c>
      <c r="H28" s="194" t="n"/>
      <c r="I28" s="189" t="inlineStr">
        <is>
          <t>Bouwkundige</t>
        </is>
      </c>
      <c r="J28" s="194" t="n"/>
      <c r="K28" s="478" t="n">
        <v>0</v>
      </c>
      <c r="L28" s="481" t="n">
        <v>0</v>
      </c>
      <c r="M28" s="480">
        <f>K28*L28</f>
        <v/>
      </c>
    </row>
    <row r="29" hidden="1" outlineLevel="2">
      <c r="A29" s="182" t="n"/>
      <c r="B29" s="183" t="n">
        <v>12</v>
      </c>
      <c r="C29" s="184" t="n"/>
      <c r="D29" s="185" t="inlineStr">
        <is>
          <t>post</t>
        </is>
      </c>
      <c r="E29" s="186">
        <f>K29</f>
        <v/>
      </c>
      <c r="F29" s="477">
        <f>CEILING(L29*$M$7,$M$8)</f>
        <v/>
      </c>
      <c r="G29" s="477">
        <f>ROUND(E29*F29,0)</f>
        <v/>
      </c>
      <c r="H29" s="194" t="n"/>
      <c r="I29" s="189" t="inlineStr">
        <is>
          <t>Bouwkundige</t>
        </is>
      </c>
      <c r="J29" s="194" t="n"/>
      <c r="K29" s="478" t="n">
        <v>0</v>
      </c>
      <c r="L29" s="481" t="n">
        <v>0</v>
      </c>
      <c r="M29" s="480">
        <f>K29*L29</f>
        <v/>
      </c>
    </row>
    <row r="30" hidden="1" outlineLevel="2">
      <c r="A30" s="182" t="n"/>
      <c r="B30" s="183" t="n">
        <v>13</v>
      </c>
      <c r="C30" s="184" t="n"/>
      <c r="D30" s="185" t="inlineStr">
        <is>
          <t>post</t>
        </is>
      </c>
      <c r="E30" s="186">
        <f>K30</f>
        <v/>
      </c>
      <c r="F30" s="477">
        <f>CEILING(L30*$M$7,$M$8)</f>
        <v/>
      </c>
      <c r="G30" s="477">
        <f>ROUND(E30*F30,0)</f>
        <v/>
      </c>
      <c r="H30" s="194" t="n"/>
      <c r="I30" s="189" t="inlineStr">
        <is>
          <t>Bouwkundige</t>
        </is>
      </c>
      <c r="J30" s="194" t="n"/>
      <c r="K30" s="478" t="n">
        <v>0</v>
      </c>
      <c r="L30" s="481" t="n">
        <v>0</v>
      </c>
      <c r="M30" s="480">
        <f>K30*L30</f>
        <v/>
      </c>
    </row>
    <row r="31" hidden="1" outlineLevel="2">
      <c r="A31" s="182" t="n"/>
      <c r="B31" s="183" t="n">
        <v>14</v>
      </c>
      <c r="C31" s="184" t="n"/>
      <c r="D31" s="185" t="inlineStr">
        <is>
          <t>post</t>
        </is>
      </c>
      <c r="E31" s="186">
        <f>K31</f>
        <v/>
      </c>
      <c r="F31" s="477">
        <f>CEILING(L31*$M$7,$M$8)</f>
        <v/>
      </c>
      <c r="G31" s="477">
        <f>ROUND(E31*F31,0)</f>
        <v/>
      </c>
      <c r="H31" s="194" t="n"/>
      <c r="I31" s="189" t="inlineStr">
        <is>
          <t>Bouwkundige</t>
        </is>
      </c>
      <c r="J31" s="194" t="n"/>
      <c r="K31" s="478" t="n">
        <v>0</v>
      </c>
      <c r="L31" s="481" t="n">
        <v>0</v>
      </c>
      <c r="M31" s="480">
        <f>K31*L31</f>
        <v/>
      </c>
    </row>
    <row r="32" hidden="1" outlineLevel="2">
      <c r="A32" s="182" t="n"/>
      <c r="B32" s="183" t="n">
        <v>15</v>
      </c>
      <c r="C32" s="184" t="n"/>
      <c r="D32" s="185" t="inlineStr">
        <is>
          <t>post</t>
        </is>
      </c>
      <c r="E32" s="186">
        <f>K32</f>
        <v/>
      </c>
      <c r="F32" s="477">
        <f>CEILING(L32*$M$7,$M$8)</f>
        <v/>
      </c>
      <c r="G32" s="477">
        <f>ROUND(E32*F32,0)</f>
        <v/>
      </c>
      <c r="H32" s="194" t="n"/>
      <c r="I32" s="189" t="inlineStr">
        <is>
          <t>Bouwkundige</t>
        </is>
      </c>
      <c r="J32" s="194" t="n"/>
      <c r="K32" s="478" t="n">
        <v>0</v>
      </c>
      <c r="L32" s="481" t="n">
        <v>0</v>
      </c>
      <c r="M32" s="480">
        <f>K32*L32</f>
        <v/>
      </c>
    </row>
    <row r="33" hidden="1" outlineLevel="2">
      <c r="A33" s="195" t="n"/>
      <c r="B33" s="183" t="n">
        <v>16</v>
      </c>
      <c r="C33" s="184" t="n"/>
      <c r="D33" s="185" t="inlineStr">
        <is>
          <t>post</t>
        </is>
      </c>
      <c r="E33" s="186">
        <f>K33</f>
        <v/>
      </c>
      <c r="F33" s="477">
        <f>CEILING(L33*$M$7,$M$8)</f>
        <v/>
      </c>
      <c r="G33" s="477">
        <f>ROUND(E33*F33,0)</f>
        <v/>
      </c>
      <c r="H33" s="194" t="n"/>
      <c r="I33" s="189" t="inlineStr">
        <is>
          <t>Bouwkundige</t>
        </is>
      </c>
      <c r="J33" s="194" t="n"/>
      <c r="K33" s="478" t="n">
        <v>0</v>
      </c>
      <c r="L33" s="481" t="n">
        <v>0</v>
      </c>
      <c r="M33" s="480">
        <f>K33*L33</f>
        <v/>
      </c>
    </row>
    <row r="34" outlineLevel="2">
      <c r="E34" s="38" t="n"/>
      <c r="F34" s="38" t="n"/>
      <c r="G34" s="482">
        <f>SUM(G18:G33)</f>
        <v/>
      </c>
      <c r="K34" s="483" t="n"/>
      <c r="M34" s="484">
        <f>SUM(M18:M33)</f>
        <v/>
      </c>
    </row>
    <row r="35" outlineLevel="1">
      <c r="A35" s="154" t="n"/>
      <c r="E35" s="38" t="n"/>
      <c r="F35" s="38" t="n"/>
      <c r="G35" s="38" t="n"/>
      <c r="I35" s="185" t="n"/>
      <c r="K35" s="483" t="n"/>
    </row>
    <row r="36" outlineLevel="2" collapsed="1">
      <c r="A36" s="179" t="n">
        <v>120</v>
      </c>
      <c r="B36" s="279" t="inlineStr">
        <is>
          <t>DEMOLITION WORK</t>
        </is>
      </c>
      <c r="C36" s="280" t="n"/>
      <c r="D36" s="280" t="n"/>
      <c r="E36" s="280" t="n"/>
      <c r="F36" s="280" t="n"/>
      <c r="G36" s="280" t="n"/>
      <c r="H36" s="281" t="n"/>
      <c r="I36" s="282" t="n"/>
      <c r="J36" s="281" t="n"/>
      <c r="K36" s="485" t="n"/>
      <c r="L36" s="410" t="n"/>
      <c r="M36" s="199" t="n"/>
    </row>
    <row r="37" outlineLevel="2">
      <c r="A37" s="182" t="n"/>
      <c r="B37" s="183" t="n">
        <v>1</v>
      </c>
      <c r="C37" s="184" t="inlineStr">
        <is>
          <t xml:space="preserve">Removing existing flooring in whole floor. </t>
        </is>
      </c>
      <c r="D37" s="185" t="inlineStr">
        <is>
          <t>stelpost</t>
        </is>
      </c>
      <c r="E37" s="186">
        <f>K37</f>
        <v/>
      </c>
      <c r="F37" s="477">
        <f>CEILING(L37*$M$7,$M$8)</f>
        <v/>
      </c>
      <c r="G37" s="477">
        <f>ROUND(E37*F37,0)</f>
        <v/>
      </c>
      <c r="H37" s="188" t="n"/>
      <c r="I37" s="189" t="inlineStr">
        <is>
          <t>Sloper</t>
        </is>
      </c>
      <c r="J37" s="188" t="n"/>
      <c r="K37" s="478" t="n">
        <v>0</v>
      </c>
      <c r="L37" s="479" t="n">
        <v>4697</v>
      </c>
      <c r="M37" s="480">
        <f>K37*L37</f>
        <v/>
      </c>
    </row>
    <row r="38" outlineLevel="2">
      <c r="A38" s="182" t="n"/>
      <c r="B38" s="183" t="n">
        <v>2</v>
      </c>
      <c r="C38" s="184" t="inlineStr">
        <is>
          <t xml:space="preserve">Chasing in existing sub floors </t>
        </is>
      </c>
      <c r="D38" s="185" t="inlineStr">
        <is>
          <t>stelpost</t>
        </is>
      </c>
      <c r="E38" s="186">
        <f>K38</f>
        <v/>
      </c>
      <c r="F38" s="477">
        <f>CEILING(L38*$M$7,$M$8)</f>
        <v/>
      </c>
      <c r="G38" s="477">
        <f>ROUND(E38*F38,0)</f>
        <v/>
      </c>
      <c r="H38" s="188" t="n"/>
      <c r="I38" s="189" t="inlineStr">
        <is>
          <t>Sloper</t>
        </is>
      </c>
      <c r="J38" s="188" t="n"/>
      <c r="K38" s="478" t="n">
        <v>0</v>
      </c>
      <c r="L38" s="481" t="n">
        <v>2335</v>
      </c>
      <c r="M38" s="480">
        <f>K38*L38</f>
        <v/>
      </c>
    </row>
    <row r="39" hidden="1" outlineLevel="2">
      <c r="A39" s="182" t="n"/>
      <c r="B39" s="183" t="n">
        <v>3</v>
      </c>
      <c r="C39" s="184" t="inlineStr">
        <is>
          <t>Preparatory electrical work for demolition.</t>
        </is>
      </c>
      <c r="D39" s="185" t="inlineStr">
        <is>
          <t>post</t>
        </is>
      </c>
      <c r="E39" s="186">
        <f>K39</f>
        <v/>
      </c>
      <c r="F39" s="477">
        <f>CEILING(L39*$M$7,$M$8)</f>
        <v/>
      </c>
      <c r="G39" s="477" t="inlineStr">
        <is>
          <t> </t>
        </is>
      </c>
      <c r="H39" s="188" t="n"/>
      <c r="I39" s="189" t="inlineStr">
        <is>
          <t>Sloper</t>
        </is>
      </c>
      <c r="J39" s="188" t="n"/>
      <c r="K39" s="478" t="n">
        <v>0</v>
      </c>
      <c r="L39" s="481" t="n">
        <v>0</v>
      </c>
      <c r="M39" s="480">
        <f>K39*L39</f>
        <v/>
      </c>
    </row>
    <row r="40" hidden="1" outlineLevel="2">
      <c r="A40" s="182" t="n"/>
      <c r="B40" s="183" t="n">
        <v>4</v>
      </c>
      <c r="C40" s="184" t="inlineStr">
        <is>
          <t>Preparatory mechanical work for demolition.</t>
        </is>
      </c>
      <c r="D40" s="185" t="inlineStr">
        <is>
          <t>post</t>
        </is>
      </c>
      <c r="E40" s="186">
        <f>K40</f>
        <v/>
      </c>
      <c r="F40" s="477">
        <f>CEILING(L40*$M$7,$M$8)</f>
        <v/>
      </c>
      <c r="G40" s="477">
        <f>ROUND(E40*F40,0)</f>
        <v/>
      </c>
      <c r="H40" s="188" t="n"/>
      <c r="I40" s="189" t="inlineStr">
        <is>
          <t>Sloper</t>
        </is>
      </c>
      <c r="J40" s="188" t="n"/>
      <c r="K40" s="478" t="n">
        <v>0</v>
      </c>
      <c r="L40" s="481" t="n">
        <v>0</v>
      </c>
      <c r="M40" s="480">
        <f>K40*L40</f>
        <v/>
      </c>
    </row>
    <row r="41" hidden="1" outlineLevel="2">
      <c r="A41" s="182" t="n"/>
      <c r="B41" s="183" t="n">
        <v>5</v>
      </c>
      <c r="C41" s="184" t="inlineStr">
        <is>
          <t>Structural demolition work. [Specify what]</t>
        </is>
      </c>
      <c r="D41" s="185" t="inlineStr">
        <is>
          <t>post</t>
        </is>
      </c>
      <c r="E41" s="186">
        <f>K41</f>
        <v/>
      </c>
      <c r="F41" s="477">
        <f>CEILING(L41*$M$7,$M$8)</f>
        <v/>
      </c>
      <c r="G41" s="477">
        <f>ROUND(E41*F41,0)</f>
        <v/>
      </c>
      <c r="H41" s="188" t="n"/>
      <c r="I41" s="189" t="inlineStr">
        <is>
          <t>Sloper</t>
        </is>
      </c>
      <c r="J41" s="188" t="n"/>
      <c r="K41" s="478" t="n">
        <v>0</v>
      </c>
      <c r="L41" s="481" t="n">
        <v>0</v>
      </c>
      <c r="M41" s="480">
        <f>K41*L41</f>
        <v/>
      </c>
    </row>
    <row r="42" hidden="1" outlineLevel="2">
      <c r="A42" s="182" t="n"/>
      <c r="B42" s="183" t="n">
        <v>6</v>
      </c>
      <c r="C42" s="184" t="inlineStr">
        <is>
          <t>Disconnecting electrical installations for demolition work. [Describe]</t>
        </is>
      </c>
      <c r="D42" s="185" t="inlineStr">
        <is>
          <t>post</t>
        </is>
      </c>
      <c r="E42" s="186">
        <f>K42</f>
        <v/>
      </c>
      <c r="F42" s="477">
        <f>CEILING(L42*$M$7,$M$8)</f>
        <v/>
      </c>
      <c r="G42" s="477">
        <f>ROUND(E42*F42,0)</f>
        <v/>
      </c>
      <c r="H42" s="188" t="n"/>
      <c r="I42" s="189" t="inlineStr">
        <is>
          <t>Sloper</t>
        </is>
      </c>
      <c r="J42" s="188" t="n"/>
      <c r="K42" s="478" t="n">
        <v>0</v>
      </c>
      <c r="L42" s="481" t="n">
        <v>0</v>
      </c>
      <c r="M42" s="480">
        <f>K42*L42</f>
        <v/>
      </c>
    </row>
    <row r="43" hidden="1" outlineLevel="2">
      <c r="A43" s="182" t="n"/>
      <c r="B43" s="183" t="n">
        <v>7</v>
      </c>
      <c r="C43" s="184" t="inlineStr">
        <is>
          <t>Disconnecting mechanical installations for demolition work. [Describe]</t>
        </is>
      </c>
      <c r="D43" s="185" t="inlineStr">
        <is>
          <t>post</t>
        </is>
      </c>
      <c r="E43" s="186">
        <f>K43</f>
        <v/>
      </c>
      <c r="F43" s="477">
        <f>CEILING(L43*$M$7,$M$8)</f>
        <v/>
      </c>
      <c r="G43" s="477">
        <f>ROUND(E43*F43,0)</f>
        <v/>
      </c>
      <c r="H43" s="188" t="n"/>
      <c r="I43" s="189" t="inlineStr">
        <is>
          <t>Sloper</t>
        </is>
      </c>
      <c r="J43" s="188" t="n"/>
      <c r="K43" s="478" t="n">
        <v>0</v>
      </c>
      <c r="L43" s="481" t="n">
        <v>0</v>
      </c>
      <c r="M43" s="480">
        <f>K43*L43</f>
        <v/>
      </c>
    </row>
    <row r="44" hidden="1" outlineLevel="2">
      <c r="A44" s="182" t="n"/>
      <c r="B44" s="183" t="n">
        <v>8</v>
      </c>
      <c r="C44" s="184" t="inlineStr">
        <is>
          <t>Disconnecting plumbing installations for demolition work. [Describe]</t>
        </is>
      </c>
      <c r="D44" s="185" t="inlineStr">
        <is>
          <t>post</t>
        </is>
      </c>
      <c r="E44" s="186">
        <f>K44</f>
        <v/>
      </c>
      <c r="F44" s="477">
        <f>CEILING(L44*$M$7,$M$8)</f>
        <v/>
      </c>
      <c r="G44" s="477">
        <f>ROUND(E44*F44,0)</f>
        <v/>
      </c>
      <c r="H44" s="188" t="n"/>
      <c r="I44" s="189" t="inlineStr">
        <is>
          <t>Sloper</t>
        </is>
      </c>
      <c r="J44" s="188" t="n"/>
      <c r="K44" s="478" t="n">
        <v>0</v>
      </c>
      <c r="L44" s="481" t="n">
        <v>0</v>
      </c>
      <c r="M44" s="480">
        <f>K44*L44</f>
        <v/>
      </c>
    </row>
    <row r="45" hidden="1" outlineLevel="2">
      <c r="A45" s="182" t="n"/>
      <c r="B45" s="183" t="n">
        <v>9</v>
      </c>
      <c r="C45" s="184" t="inlineStr">
        <is>
          <t xml:space="preserve">Disconnecting/removing IT systems for demolition work. [Describe] </t>
        </is>
      </c>
      <c r="D45" s="185" t="inlineStr">
        <is>
          <t>post</t>
        </is>
      </c>
      <c r="E45" s="186">
        <f>K45</f>
        <v/>
      </c>
      <c r="F45" s="477">
        <f>CEILING(L45*$M$7,$M$8)</f>
        <v/>
      </c>
      <c r="G45" s="477">
        <f>ROUND(E45*F45,0)</f>
        <v/>
      </c>
      <c r="H45" s="188" t="n"/>
      <c r="I45" s="189" t="inlineStr">
        <is>
          <t>Sloper</t>
        </is>
      </c>
      <c r="J45" s="188" t="n"/>
      <c r="K45" s="478" t="n">
        <v>0</v>
      </c>
      <c r="L45" s="481" t="n">
        <v>0</v>
      </c>
      <c r="M45" s="480">
        <f>K45*L45</f>
        <v/>
      </c>
    </row>
    <row r="46" hidden="1" outlineLevel="2">
      <c r="A46" s="182" t="n"/>
      <c r="B46" s="183" t="n">
        <v>10</v>
      </c>
      <c r="C46" s="184" t="inlineStr">
        <is>
          <t>Other demolition work. [Describe]</t>
        </is>
      </c>
      <c r="D46" s="185" t="inlineStr">
        <is>
          <t>post</t>
        </is>
      </c>
      <c r="E46" s="186">
        <f>K46</f>
        <v/>
      </c>
      <c r="F46" s="477">
        <f>CEILING(L46*$M$7,$M$8)</f>
        <v/>
      </c>
      <c r="G46" s="477">
        <f>ROUND(E46*F46,0)</f>
        <v/>
      </c>
      <c r="H46" s="188" t="n"/>
      <c r="I46" s="189" t="inlineStr">
        <is>
          <t>Sloper</t>
        </is>
      </c>
      <c r="J46" s="188" t="n"/>
      <c r="K46" s="478" t="n">
        <v>0</v>
      </c>
      <c r="L46" s="481" t="n">
        <v>0</v>
      </c>
      <c r="M46" s="480">
        <f>K46*L46</f>
        <v/>
      </c>
    </row>
    <row r="47" hidden="1" outlineLevel="2">
      <c r="A47" s="182" t="n"/>
      <c r="B47" s="183" t="n">
        <v>11</v>
      </c>
      <c r="C47" s="184" t="n"/>
      <c r="D47" s="185" t="inlineStr">
        <is>
          <t>post</t>
        </is>
      </c>
      <c r="E47" s="186">
        <f>K47</f>
        <v/>
      </c>
      <c r="F47" s="477">
        <f>CEILING(L47*$M$7,$M$8)</f>
        <v/>
      </c>
      <c r="G47" s="477">
        <f>ROUND(E47*F47,0)</f>
        <v/>
      </c>
      <c r="H47" s="194" t="n"/>
      <c r="I47" s="189" t="inlineStr">
        <is>
          <t>Sloper</t>
        </is>
      </c>
      <c r="J47" s="194" t="n"/>
      <c r="K47" s="478" t="n">
        <v>0</v>
      </c>
      <c r="L47" s="481" t="n">
        <v>0</v>
      </c>
      <c r="M47" s="480">
        <f>K47*L47</f>
        <v/>
      </c>
    </row>
    <row r="48" hidden="1" outlineLevel="2">
      <c r="A48" s="182" t="n"/>
      <c r="B48" s="183" t="n">
        <v>12</v>
      </c>
      <c r="C48" s="184" t="n"/>
      <c r="D48" s="185" t="inlineStr">
        <is>
          <t>post</t>
        </is>
      </c>
      <c r="E48" s="186">
        <f>K48</f>
        <v/>
      </c>
      <c r="F48" s="477">
        <f>CEILING(L48*$M$7,$M$8)</f>
        <v/>
      </c>
      <c r="G48" s="477">
        <f>ROUND(E48*F48,0)</f>
        <v/>
      </c>
      <c r="H48" s="194" t="n"/>
      <c r="I48" s="189" t="inlineStr">
        <is>
          <t>Sloper</t>
        </is>
      </c>
      <c r="J48" s="194" t="n"/>
      <c r="K48" s="478" t="n">
        <v>0</v>
      </c>
      <c r="L48" s="481" t="n">
        <v>0</v>
      </c>
      <c r="M48" s="480">
        <f>K48*L48</f>
        <v/>
      </c>
    </row>
    <row r="49" hidden="1" outlineLevel="2">
      <c r="A49" s="182" t="n"/>
      <c r="B49" s="183" t="n">
        <v>13</v>
      </c>
      <c r="C49" s="184" t="n"/>
      <c r="D49" s="185" t="inlineStr">
        <is>
          <t>post</t>
        </is>
      </c>
      <c r="E49" s="186">
        <f>K49</f>
        <v/>
      </c>
      <c r="F49" s="477">
        <f>CEILING(L49*$M$7,$M$8)</f>
        <v/>
      </c>
      <c r="G49" s="477">
        <f>ROUND(E49*F49,0)</f>
        <v/>
      </c>
      <c r="H49" s="194" t="n"/>
      <c r="I49" s="189" t="inlineStr">
        <is>
          <t>Sloper</t>
        </is>
      </c>
      <c r="J49" s="194" t="n"/>
      <c r="K49" s="478" t="n">
        <v>0</v>
      </c>
      <c r="L49" s="481" t="n">
        <v>0</v>
      </c>
      <c r="M49" s="480">
        <f>K49*L49</f>
        <v/>
      </c>
    </row>
    <row r="50" hidden="1" outlineLevel="2">
      <c r="A50" s="182" t="n"/>
      <c r="B50" s="183" t="n">
        <v>14</v>
      </c>
      <c r="C50" s="184" t="n"/>
      <c r="D50" s="185" t="inlineStr">
        <is>
          <t>post</t>
        </is>
      </c>
      <c r="E50" s="186">
        <f>K50</f>
        <v/>
      </c>
      <c r="F50" s="477">
        <f>CEILING(L50*$M$7,$M$8)</f>
        <v/>
      </c>
      <c r="G50" s="477">
        <f>ROUND(E50*F50,0)</f>
        <v/>
      </c>
      <c r="H50" s="194" t="n"/>
      <c r="I50" s="189" t="inlineStr">
        <is>
          <t>Sloper</t>
        </is>
      </c>
      <c r="J50" s="194" t="n"/>
      <c r="K50" s="478" t="n">
        <v>0</v>
      </c>
      <c r="L50" s="481" t="n">
        <v>0</v>
      </c>
      <c r="M50" s="480">
        <f>K50*L50</f>
        <v/>
      </c>
    </row>
    <row r="51" hidden="1" outlineLevel="2">
      <c r="A51" s="182" t="n"/>
      <c r="B51" s="183" t="n">
        <v>15</v>
      </c>
      <c r="C51" s="184" t="n"/>
      <c r="D51" s="185" t="inlineStr">
        <is>
          <t>post</t>
        </is>
      </c>
      <c r="E51" s="186">
        <f>K51</f>
        <v/>
      </c>
      <c r="F51" s="477">
        <f>CEILING(L51*$M$7,$M$8)</f>
        <v/>
      </c>
      <c r="G51" s="477">
        <f>ROUND(E51*F51,0)</f>
        <v/>
      </c>
      <c r="H51" s="194" t="n"/>
      <c r="I51" s="189" t="inlineStr">
        <is>
          <t>Sloper</t>
        </is>
      </c>
      <c r="J51" s="194" t="n"/>
      <c r="K51" s="478" t="n">
        <v>0</v>
      </c>
      <c r="L51" s="481" t="n">
        <v>0</v>
      </c>
      <c r="M51" s="480">
        <f>K51*L51</f>
        <v/>
      </c>
    </row>
    <row r="52" hidden="1" outlineLevel="2">
      <c r="A52" s="182" t="n"/>
      <c r="B52" s="183" t="n">
        <v>16</v>
      </c>
      <c r="C52" s="184" t="n"/>
      <c r="D52" s="185" t="inlineStr">
        <is>
          <t>post</t>
        </is>
      </c>
      <c r="E52" s="186">
        <f>K52</f>
        <v/>
      </c>
      <c r="F52" s="477">
        <f>CEILING(L52*$M$7,$M$8)</f>
        <v/>
      </c>
      <c r="G52" s="477">
        <f>ROUND(E52*F52,0)</f>
        <v/>
      </c>
      <c r="H52" s="194" t="n"/>
      <c r="I52" s="189" t="inlineStr">
        <is>
          <t>Sloper</t>
        </is>
      </c>
      <c r="J52" s="194" t="n"/>
      <c r="K52" s="478" t="n">
        <v>0</v>
      </c>
      <c r="L52" s="481" t="n">
        <v>0</v>
      </c>
      <c r="M52" s="480">
        <f>K52*L52</f>
        <v/>
      </c>
    </row>
    <row r="53" hidden="1" outlineLevel="2">
      <c r="A53" s="195" t="n"/>
      <c r="B53" s="183" t="n">
        <v>17</v>
      </c>
      <c r="C53" s="184" t="n"/>
      <c r="D53" s="185" t="inlineStr">
        <is>
          <t>post</t>
        </is>
      </c>
      <c r="E53" s="186">
        <f>K53</f>
        <v/>
      </c>
      <c r="F53" s="477">
        <f>CEILING(L53*$M$7,$M$8)</f>
        <v/>
      </c>
      <c r="G53" s="477">
        <f>ROUND(E53*F53,0)</f>
        <v/>
      </c>
      <c r="H53" s="194" t="n"/>
      <c r="I53" s="189" t="inlineStr">
        <is>
          <t>Sloper</t>
        </is>
      </c>
      <c r="J53" s="194" t="n"/>
      <c r="K53" s="478" t="n">
        <v>0</v>
      </c>
      <c r="L53" s="481" t="n">
        <v>0</v>
      </c>
      <c r="M53" s="480">
        <f>K53*L53</f>
        <v/>
      </c>
    </row>
    <row r="54" hidden="1" outlineLevel="2">
      <c r="A54" s="195" t="n"/>
      <c r="B54" s="183" t="n"/>
      <c r="C54" s="184" t="n"/>
      <c r="D54" s="185" t="n"/>
      <c r="E54" s="486" t="n"/>
      <c r="F54" s="477" t="n"/>
      <c r="G54" s="477" t="n"/>
      <c r="H54" s="188" t="n"/>
      <c r="I54" s="189" t="n"/>
      <c r="J54" s="188" t="n"/>
      <c r="K54" s="478" t="n"/>
      <c r="L54" s="481" t="n"/>
      <c r="M54" s="480" t="n"/>
    </row>
    <row r="55" outlineLevel="2">
      <c r="D55" s="141" t="n"/>
      <c r="E55" s="38" t="n"/>
      <c r="F55" s="38" t="n"/>
      <c r="G55" s="482">
        <f>SUM(G37:G54)</f>
        <v/>
      </c>
      <c r="K55" s="483" t="n"/>
      <c r="M55" s="484">
        <f>SUM(M37:M54)</f>
        <v/>
      </c>
    </row>
    <row r="56" outlineLevel="1">
      <c r="A56" s="154" t="n"/>
      <c r="E56" s="38" t="n"/>
      <c r="F56" s="38" t="n"/>
      <c r="G56" s="38" t="n"/>
      <c r="K56" s="483" t="n"/>
      <c r="M56" s="484" t="n"/>
    </row>
    <row r="57" outlineLevel="2" collapsed="1">
      <c r="A57" s="179" t="n">
        <v>130</v>
      </c>
      <c r="B57" s="279" t="inlineStr">
        <is>
          <t>STUCTURAL WORKS</t>
        </is>
      </c>
      <c r="C57" s="280" t="n"/>
      <c r="D57" s="280" t="n"/>
      <c r="E57" s="280" t="n"/>
      <c r="F57" s="280" t="n"/>
      <c r="G57" s="280" t="n"/>
      <c r="H57" s="281" t="n"/>
      <c r="I57" s="282" t="n"/>
      <c r="J57" s="281" t="n"/>
      <c r="K57" s="485" t="n"/>
      <c r="L57" s="410" t="n"/>
      <c r="M57" s="199" t="n"/>
    </row>
    <row r="58" hidden="1" outlineLevel="2">
      <c r="A58" s="203" t="n"/>
      <c r="B58" s="405" t="n">
        <v>131</v>
      </c>
      <c r="C58" s="283" t="inlineStr">
        <is>
          <t>Miscellaneous structural works</t>
        </is>
      </c>
      <c r="D58" s="283" t="n"/>
      <c r="E58" s="284" t="n"/>
      <c r="F58" s="284" t="n"/>
      <c r="G58" s="284" t="n"/>
      <c r="H58" s="285" t="n"/>
      <c r="I58" s="283" t="n"/>
      <c r="J58" s="285" t="n"/>
      <c r="K58" s="204" t="n"/>
      <c r="L58" s="204" t="n"/>
      <c r="M58" s="204" t="n"/>
    </row>
    <row r="59" hidden="1" outlineLevel="2" ht="25.5" customHeight="1">
      <c r="A59" s="182" t="n"/>
      <c r="B59" s="205" t="n">
        <v>1</v>
      </c>
      <c r="C59" s="206" t="inlineStr">
        <is>
          <t>Miscellaneous structural works (drilling, trenches and recesses, including backfilling). [Describe the scope]</t>
        </is>
      </c>
      <c r="D59" s="185" t="inlineStr">
        <is>
          <t>post</t>
        </is>
      </c>
      <c r="E59" s="186">
        <f>K59</f>
        <v/>
      </c>
      <c r="F59" s="477">
        <f>CEILING(L59*$M$7,$M$8)</f>
        <v/>
      </c>
      <c r="G59" s="477">
        <f>ROUND(E59*F59,0)</f>
        <v/>
      </c>
      <c r="H59" s="188" t="n"/>
      <c r="I59" s="189" t="inlineStr">
        <is>
          <t>Bouwkundige</t>
        </is>
      </c>
      <c r="J59" s="188" t="n"/>
      <c r="K59" s="478" t="n">
        <v>0</v>
      </c>
      <c r="L59" s="479" t="n">
        <v>0</v>
      </c>
      <c r="M59" s="480">
        <f>K59*L59</f>
        <v/>
      </c>
    </row>
    <row r="60" hidden="1" outlineLevel="2">
      <c r="A60" s="182" t="n"/>
      <c r="B60" s="205" t="n">
        <v>2</v>
      </c>
      <c r="C60" s="184" t="inlineStr">
        <is>
          <t>Repair of structural wall joints. [Describe]</t>
        </is>
      </c>
      <c r="D60" s="185" t="inlineStr">
        <is>
          <t>post</t>
        </is>
      </c>
      <c r="E60" s="186">
        <f>K60</f>
        <v/>
      </c>
      <c r="F60" s="477">
        <f>CEILING(L60*$M$7,$M$8)</f>
        <v/>
      </c>
      <c r="G60" s="477">
        <f>ROUND(E60*F60,0)</f>
        <v/>
      </c>
      <c r="H60" s="188" t="n"/>
      <c r="I60" s="189" t="inlineStr">
        <is>
          <t>Bouwkundige</t>
        </is>
      </c>
      <c r="J60" s="188" t="n"/>
      <c r="K60" s="478" t="n">
        <v>0</v>
      </c>
      <c r="L60" s="481" t="n">
        <v>0</v>
      </c>
      <c r="M60" s="480">
        <f>K60*L60</f>
        <v/>
      </c>
    </row>
    <row r="61" hidden="1" outlineLevel="2">
      <c r="A61" s="182" t="n"/>
      <c r="B61" s="205" t="n">
        <v>3</v>
      </c>
      <c r="C61" s="184" t="inlineStr">
        <is>
          <t>Repair of structural ceiling joints. [Describe]</t>
        </is>
      </c>
      <c r="D61" s="185" t="inlineStr">
        <is>
          <t>post</t>
        </is>
      </c>
      <c r="E61" s="186">
        <f>K61</f>
        <v/>
      </c>
      <c r="F61" s="477">
        <f>CEILING(L61*$M$7,$M$8)</f>
        <v/>
      </c>
      <c r="G61" s="477">
        <f>ROUND(E61*F61,0)</f>
        <v/>
      </c>
      <c r="H61" s="188" t="n"/>
      <c r="I61" s="189" t="inlineStr">
        <is>
          <t>Bouwkundige</t>
        </is>
      </c>
      <c r="J61" s="188" t="n"/>
      <c r="K61" s="478" t="n">
        <v>0</v>
      </c>
      <c r="L61" s="481" t="n">
        <v>0</v>
      </c>
      <c r="M61" s="480">
        <f>K61*L61</f>
        <v/>
      </c>
    </row>
    <row r="62" hidden="1" outlineLevel="2" ht="25.5" customHeight="1">
      <c r="A62" s="182" t="n"/>
      <c r="B62" s="205" t="n">
        <v>4</v>
      </c>
      <c r="C62" s="184" t="inlineStr">
        <is>
          <t>Repair of structural screed (describe what is required and exclude in the event of a poor structural subfloor).</t>
        </is>
      </c>
      <c r="D62" s="185" t="inlineStr">
        <is>
          <t>post</t>
        </is>
      </c>
      <c r="E62" s="186">
        <f>K62</f>
        <v/>
      </c>
      <c r="F62" s="477">
        <f>CEILING(L62*$M$7,$M$8)</f>
        <v/>
      </c>
      <c r="G62" s="477">
        <f>ROUND(E62*F62,0)</f>
        <v/>
      </c>
      <c r="H62" s="188" t="n"/>
      <c r="I62" s="189" t="inlineStr">
        <is>
          <t>Bouwkundige</t>
        </is>
      </c>
      <c r="J62" s="188" t="n"/>
      <c r="K62" s="478" t="n">
        <v>0</v>
      </c>
      <c r="L62" s="481" t="n">
        <v>0</v>
      </c>
      <c r="M62" s="480">
        <f>K62*L62</f>
        <v/>
      </c>
    </row>
    <row r="63" hidden="1" outlineLevel="2">
      <c r="A63" s="182" t="n"/>
      <c r="B63" s="205" t="n">
        <v>5</v>
      </c>
      <c r="C63" s="184" t="inlineStr">
        <is>
          <t>Repair of existing internal walls (including painting). [Describe]</t>
        </is>
      </c>
      <c r="D63" s="185" t="inlineStr">
        <is>
          <t>post</t>
        </is>
      </c>
      <c r="E63" s="186">
        <f>K63</f>
        <v/>
      </c>
      <c r="F63" s="477">
        <f>CEILING(L63*$M$7,$M$8)</f>
        <v/>
      </c>
      <c r="G63" s="477">
        <f>ROUND(E63*F63,0)</f>
        <v/>
      </c>
      <c r="H63" s="188" t="n"/>
      <c r="I63" s="189" t="inlineStr">
        <is>
          <t>Bouwkundige</t>
        </is>
      </c>
      <c r="J63" s="188" t="n"/>
      <c r="K63" s="478" t="n">
        <v>0</v>
      </c>
      <c r="L63" s="481" t="n">
        <v>0</v>
      </c>
      <c r="M63" s="480">
        <f>K63*L63</f>
        <v/>
      </c>
    </row>
    <row r="64" hidden="1" outlineLevel="2">
      <c r="A64" s="182" t="n"/>
      <c r="B64" s="183" t="n"/>
      <c r="C64" s="206" t="n"/>
      <c r="D64" s="185" t="n"/>
      <c r="E64" s="486" t="n"/>
      <c r="F64" s="477" t="n"/>
      <c r="G64" s="487">
        <f>SUM(G59:G63)</f>
        <v/>
      </c>
      <c r="H64" s="188" t="n"/>
      <c r="I64" s="189" t="n"/>
      <c r="J64" s="188" t="n"/>
      <c r="K64" s="478" t="n"/>
      <c r="L64" s="479" t="n"/>
      <c r="M64" s="488">
        <f>SUM(M59:M63)</f>
        <v/>
      </c>
    </row>
    <row r="65" hidden="1" outlineLevel="2">
      <c r="A65" s="182" t="n"/>
      <c r="B65" s="405" t="n">
        <v>132</v>
      </c>
      <c r="C65" s="283" t="inlineStr">
        <is>
          <t>Staircase</t>
        </is>
      </c>
      <c r="D65" s="283" t="n"/>
      <c r="E65" s="284" t="n"/>
      <c r="F65" s="284" t="n"/>
      <c r="G65" s="284" t="n"/>
      <c r="H65" s="285" t="n"/>
      <c r="I65" s="283" t="n"/>
      <c r="J65" s="285" t="n"/>
      <c r="K65" s="204" t="n"/>
      <c r="L65" s="204" t="n"/>
      <c r="M65" s="204" t="n"/>
    </row>
    <row r="66" hidden="1" outlineLevel="2">
      <c r="A66" s="182" t="n"/>
      <c r="B66" s="205" t="n">
        <v>1</v>
      </c>
      <c r="C66" s="184" t="inlineStr">
        <is>
          <t>Structural engineer for calculating the stairwell.</t>
        </is>
      </c>
      <c r="D66" s="185" t="inlineStr">
        <is>
          <t>post</t>
        </is>
      </c>
      <c r="E66" s="186">
        <f>K66</f>
        <v/>
      </c>
      <c r="F66" s="477">
        <f>CEILING(L66*$M$7,$M$8)</f>
        <v/>
      </c>
      <c r="G66" s="477">
        <f>ROUND(E66*F66,0)</f>
        <v/>
      </c>
      <c r="H66" s="188" t="n"/>
      <c r="I66" s="189" t="inlineStr">
        <is>
          <t>Bouwkundige</t>
        </is>
      </c>
      <c r="J66" s="188" t="n"/>
      <c r="K66" s="478" t="n">
        <v>0</v>
      </c>
      <c r="L66" s="481" t="n">
        <v>0</v>
      </c>
      <c r="M66" s="480">
        <f>K66*L66</f>
        <v/>
      </c>
    </row>
    <row r="67" hidden="1" outlineLevel="2">
      <c r="A67" s="182" t="n"/>
      <c r="B67" s="205" t="n">
        <v>2</v>
      </c>
      <c r="C67" s="184" t="inlineStr">
        <is>
          <t>Creating a stairwell opening in the floor of the … floor.</t>
        </is>
      </c>
      <c r="D67" s="185" t="inlineStr">
        <is>
          <t>post</t>
        </is>
      </c>
      <c r="E67" s="186">
        <f>K67</f>
        <v/>
      </c>
      <c r="F67" s="477">
        <f>CEILING(L67*$M$7,$M$8)</f>
        <v/>
      </c>
      <c r="G67" s="477">
        <f>ROUND(E67*F67,0)</f>
        <v/>
      </c>
      <c r="H67" s="188" t="n"/>
      <c r="I67" s="189" t="inlineStr">
        <is>
          <t>Bouwkundige</t>
        </is>
      </c>
      <c r="J67" s="188" t="n"/>
      <c r="K67" s="478" t="n">
        <v>0</v>
      </c>
      <c r="L67" s="481" t="n">
        <v>0</v>
      </c>
      <c r="M67" s="480">
        <f>K67*L67</f>
        <v/>
      </c>
    </row>
    <row r="68" hidden="1" outlineLevel="2">
      <c r="A68" s="182" t="n"/>
      <c r="B68" s="205" t="n">
        <v>3</v>
      </c>
      <c r="C68" s="184" t="inlineStr">
        <is>
          <t>Necessary structural provisions for the stairwell and staircase.</t>
        </is>
      </c>
      <c r="D68" s="185" t="inlineStr">
        <is>
          <t>post</t>
        </is>
      </c>
      <c r="E68" s="186">
        <f>K68</f>
        <v/>
      </c>
      <c r="F68" s="477">
        <f>CEILING(L68*$M$7,$M$8)</f>
        <v/>
      </c>
      <c r="G68" s="477">
        <f>ROUND(E68*F68,0)</f>
        <v/>
      </c>
      <c r="H68" s="188" t="n"/>
      <c r="I68" s="189" t="inlineStr">
        <is>
          <t>Bouwkundige</t>
        </is>
      </c>
      <c r="J68" s="188" t="n"/>
      <c r="K68" s="478" t="n">
        <v>0</v>
      </c>
      <c r="L68" s="481" t="n">
        <v>0</v>
      </c>
      <c r="M68" s="480">
        <f>K68*L68</f>
        <v/>
      </c>
    </row>
    <row r="69" hidden="1" outlineLevel="2">
      <c r="A69" s="182" t="n"/>
      <c r="B69" s="205" t="n">
        <v>4</v>
      </c>
      <c r="C69" s="184" t="inlineStr">
        <is>
          <t>Modifications to the mechanical and plumbing systems (including sprinklers).</t>
        </is>
      </c>
      <c r="D69" s="185" t="inlineStr">
        <is>
          <t>post</t>
        </is>
      </c>
      <c r="E69" s="186">
        <f>K69</f>
        <v/>
      </c>
      <c r="F69" s="477">
        <f>CEILING(L69*$M$7,$M$8)</f>
        <v/>
      </c>
      <c r="G69" s="477">
        <f>ROUND(E69*F69,0)</f>
        <v/>
      </c>
      <c r="H69" s="188" t="n"/>
      <c r="I69" s="189" t="inlineStr">
        <is>
          <t>Bouwkundige</t>
        </is>
      </c>
      <c r="J69" s="188" t="n"/>
      <c r="K69" s="478" t="n">
        <v>0</v>
      </c>
      <c r="L69" s="481" t="n">
        <v>0</v>
      </c>
      <c r="M69" s="480">
        <f>K69*L69</f>
        <v/>
      </c>
    </row>
    <row r="70" hidden="1" outlineLevel="2" ht="25.5" customHeight="1">
      <c r="A70" s="182" t="n"/>
      <c r="B70" s="205" t="n">
        <v>5</v>
      </c>
      <c r="C70" s="184" t="inlineStr">
        <is>
          <t>Modifications to the electrical systems (including evacuation / fire alarm control panel and ……).</t>
        </is>
      </c>
      <c r="D70" s="185" t="inlineStr">
        <is>
          <t>post</t>
        </is>
      </c>
      <c r="E70" s="186">
        <f>K70</f>
        <v/>
      </c>
      <c r="F70" s="477">
        <f>CEILING(L70*$M$7,$M$8)</f>
        <v/>
      </c>
      <c r="G70" s="477">
        <f>ROUND(E70*F70,0)</f>
        <v/>
      </c>
      <c r="H70" s="188" t="n"/>
      <c r="I70" s="189" t="inlineStr">
        <is>
          <t>Bouwkundige</t>
        </is>
      </c>
      <c r="J70" s="188" t="n"/>
      <c r="K70" s="478" t="n">
        <v>0</v>
      </c>
      <c r="L70" s="481" t="n">
        <v>0</v>
      </c>
      <c r="M70" s="480">
        <f>K70*L70</f>
        <v/>
      </c>
    </row>
    <row r="71" hidden="1" outlineLevel="2">
      <c r="A71" s="182" t="n"/>
      <c r="B71" s="205" t="n">
        <v>6</v>
      </c>
      <c r="C71" s="184" t="inlineStr">
        <is>
          <t>Modifications to fire separation due to the staircase. [Describe]</t>
        </is>
      </c>
      <c r="D71" s="185" t="inlineStr">
        <is>
          <t>post</t>
        </is>
      </c>
      <c r="E71" s="186">
        <f>K71</f>
        <v/>
      </c>
      <c r="F71" s="477">
        <f>CEILING(L71*$M$7,$M$8)</f>
        <v/>
      </c>
      <c r="G71" s="477">
        <f>ROUND(E71*F71,0)</f>
        <v/>
      </c>
      <c r="H71" s="188" t="n"/>
      <c r="I71" s="189" t="inlineStr">
        <is>
          <t>Bouwkundige</t>
        </is>
      </c>
      <c r="J71" s="188" t="n"/>
      <c r="K71" s="478" t="n">
        <v>0</v>
      </c>
      <c r="L71" s="481" t="n">
        <v>0</v>
      </c>
      <c r="M71" s="480">
        <f>K71*L71</f>
        <v/>
      </c>
    </row>
    <row r="72" hidden="1" outlineLevel="2">
      <c r="A72" s="182" t="n"/>
      <c r="B72" s="205" t="n">
        <v>7</v>
      </c>
      <c r="C72" s="184" t="inlineStr">
        <is>
          <t>Supply and installation of staircase with balustrade around the stairwell.</t>
        </is>
      </c>
      <c r="D72" s="185" t="inlineStr">
        <is>
          <t>post</t>
        </is>
      </c>
      <c r="E72" s="186">
        <f>K72</f>
        <v/>
      </c>
      <c r="F72" s="477">
        <f>CEILING(L72*$M$7,$M$8)</f>
        <v/>
      </c>
      <c r="G72" s="477">
        <f>ROUND(E72*F72,0)</f>
        <v/>
      </c>
      <c r="H72" s="188" t="n"/>
      <c r="I72" s="189" t="inlineStr">
        <is>
          <t>Bouwkundige</t>
        </is>
      </c>
      <c r="J72" s="188" t="n"/>
      <c r="K72" s="478" t="n">
        <v>0</v>
      </c>
      <c r="L72" s="481" t="n">
        <v>0</v>
      </c>
      <c r="M72" s="480">
        <f>K72*L72</f>
        <v/>
      </c>
    </row>
    <row r="73" hidden="1" outlineLevel="2">
      <c r="A73" s="182" t="n"/>
      <c r="B73" s="183" t="n">
        <v>8</v>
      </c>
      <c r="C73" s="184" t="n"/>
      <c r="D73" s="185" t="inlineStr">
        <is>
          <t>post</t>
        </is>
      </c>
      <c r="E73" s="186">
        <f>K73</f>
        <v/>
      </c>
      <c r="F73" s="477">
        <f>CEILING(L73*$M$7,$M$8)</f>
        <v/>
      </c>
      <c r="G73" s="477">
        <f>ROUND(E73*F73,0)</f>
        <v/>
      </c>
      <c r="H73" s="194" t="n"/>
      <c r="I73" s="189" t="inlineStr">
        <is>
          <t>Bouwkundige</t>
        </is>
      </c>
      <c r="J73" s="194" t="n"/>
      <c r="K73" s="478" t="n">
        <v>0</v>
      </c>
      <c r="L73" s="481" t="n">
        <v>0</v>
      </c>
      <c r="M73" s="480">
        <f>K73*L73</f>
        <v/>
      </c>
    </row>
    <row r="74" hidden="1" outlineLevel="2">
      <c r="A74" s="182" t="n"/>
      <c r="B74" s="183" t="n">
        <v>9</v>
      </c>
      <c r="C74" s="184" t="n"/>
      <c r="D74" s="185" t="inlineStr">
        <is>
          <t>post</t>
        </is>
      </c>
      <c r="E74" s="186">
        <f>K74</f>
        <v/>
      </c>
      <c r="F74" s="477">
        <f>CEILING(L74*$M$7,$M$8)</f>
        <v/>
      </c>
      <c r="G74" s="477">
        <f>ROUND(E74*F74,0)</f>
        <v/>
      </c>
      <c r="H74" s="194" t="n"/>
      <c r="I74" s="189" t="inlineStr">
        <is>
          <t>Bouwkundige</t>
        </is>
      </c>
      <c r="J74" s="194" t="n"/>
      <c r="K74" s="478" t="n">
        <v>0</v>
      </c>
      <c r="L74" s="481" t="n">
        <v>0</v>
      </c>
      <c r="M74" s="480">
        <f>K74*L74</f>
        <v/>
      </c>
    </row>
    <row r="75" hidden="1" outlineLevel="2">
      <c r="A75" s="182" t="n"/>
      <c r="B75" s="183" t="n">
        <v>10</v>
      </c>
      <c r="C75" s="184" t="n"/>
      <c r="D75" s="185" t="inlineStr">
        <is>
          <t>post</t>
        </is>
      </c>
      <c r="E75" s="186">
        <f>K75</f>
        <v/>
      </c>
      <c r="F75" s="477">
        <f>CEILING(L75*$M$7,$M$8)</f>
        <v/>
      </c>
      <c r="G75" s="477">
        <f>ROUND(E75*F75,0)</f>
        <v/>
      </c>
      <c r="H75" s="194" t="n"/>
      <c r="I75" s="189" t="inlineStr">
        <is>
          <t>Bouwkundige</t>
        </is>
      </c>
      <c r="J75" s="194" t="n"/>
      <c r="K75" s="478" t="n">
        <v>0</v>
      </c>
      <c r="L75" s="481" t="n">
        <v>0</v>
      </c>
      <c r="M75" s="480">
        <f>K75*L75</f>
        <v/>
      </c>
    </row>
    <row r="76" hidden="1" outlineLevel="2">
      <c r="A76" s="182" t="n"/>
      <c r="B76" s="183" t="n">
        <v>11</v>
      </c>
      <c r="C76" s="184" t="n"/>
      <c r="D76" s="185" t="inlineStr">
        <is>
          <t>post</t>
        </is>
      </c>
      <c r="E76" s="186">
        <f>K76</f>
        <v/>
      </c>
      <c r="F76" s="477">
        <f>CEILING(L76*$M$7,$M$8)</f>
        <v/>
      </c>
      <c r="G76" s="477">
        <f>ROUND(E76*F76,0)</f>
        <v/>
      </c>
      <c r="H76" s="194" t="n"/>
      <c r="I76" s="189" t="inlineStr">
        <is>
          <t>Bouwkundige</t>
        </is>
      </c>
      <c r="J76" s="194" t="n"/>
      <c r="K76" s="478" t="n">
        <v>0</v>
      </c>
      <c r="L76" s="481" t="n">
        <v>0</v>
      </c>
      <c r="M76" s="480">
        <f>K76*L76</f>
        <v/>
      </c>
    </row>
    <row r="77" hidden="1" outlineLevel="2">
      <c r="A77" s="182" t="n"/>
      <c r="B77" s="183" t="n">
        <v>12</v>
      </c>
      <c r="C77" s="184" t="n"/>
      <c r="D77" s="185" t="inlineStr">
        <is>
          <t>post</t>
        </is>
      </c>
      <c r="E77" s="186">
        <f>K77</f>
        <v/>
      </c>
      <c r="F77" s="477">
        <f>CEILING(L77*$M$7,$M$8)</f>
        <v/>
      </c>
      <c r="G77" s="477">
        <f>ROUND(E77*F77,0)</f>
        <v/>
      </c>
      <c r="H77" s="194" t="n"/>
      <c r="I77" s="189" t="inlineStr">
        <is>
          <t>Bouwkundige</t>
        </is>
      </c>
      <c r="J77" s="194" t="n"/>
      <c r="K77" s="478" t="n">
        <v>0</v>
      </c>
      <c r="L77" s="481" t="n">
        <v>0</v>
      </c>
      <c r="M77" s="480">
        <f>K77*L77</f>
        <v/>
      </c>
    </row>
    <row r="78" hidden="1" outlineLevel="2">
      <c r="A78" s="182" t="n"/>
      <c r="B78" s="183" t="n">
        <v>13</v>
      </c>
      <c r="C78" s="184" t="n"/>
      <c r="D78" s="185" t="inlineStr">
        <is>
          <t>post</t>
        </is>
      </c>
      <c r="E78" s="186">
        <f>K78</f>
        <v/>
      </c>
      <c r="F78" s="477">
        <f>CEILING(L78*$M$7,$M$8)</f>
        <v/>
      </c>
      <c r="G78" s="477">
        <f>ROUND(E78*F78,0)</f>
        <v/>
      </c>
      <c r="H78" s="194" t="n"/>
      <c r="I78" s="189" t="inlineStr">
        <is>
          <t>Bouwkundige</t>
        </is>
      </c>
      <c r="J78" s="194" t="n"/>
      <c r="K78" s="478" t="n">
        <v>0</v>
      </c>
      <c r="L78" s="481" t="n">
        <v>0</v>
      </c>
      <c r="M78" s="480">
        <f>K78*L78</f>
        <v/>
      </c>
    </row>
    <row r="79" hidden="1" outlineLevel="2">
      <c r="A79" s="182" t="n"/>
      <c r="B79" s="183" t="n"/>
      <c r="C79" s="206" t="n"/>
      <c r="D79" s="185" t="n"/>
      <c r="E79" s="486" t="n"/>
      <c r="F79" s="477" t="n"/>
      <c r="G79" s="487">
        <f>SUM(G66:G72)</f>
        <v/>
      </c>
      <c r="H79" s="188" t="n"/>
      <c r="I79" s="189" t="n"/>
      <c r="J79" s="188" t="n"/>
      <c r="K79" s="478" t="n"/>
      <c r="L79" s="479" t="n"/>
      <c r="M79" s="488">
        <f>SUM(M66:M72)</f>
        <v/>
      </c>
    </row>
    <row r="80" hidden="1" outlineLevel="2">
      <c r="A80" s="182" t="n"/>
      <c r="B80" s="405" t="n">
        <v>133</v>
      </c>
      <c r="C80" s="283" t="inlineStr">
        <is>
          <t>Entrance</t>
        </is>
      </c>
      <c r="D80" s="283" t="n"/>
      <c r="E80" s="284" t="n"/>
      <c r="F80" s="284" t="n"/>
      <c r="G80" s="284" t="n"/>
      <c r="H80" s="285" t="n"/>
      <c r="I80" s="283" t="n"/>
      <c r="J80" s="285" t="n"/>
      <c r="K80" s="204" t="n"/>
      <c r="L80" s="204" t="n"/>
      <c r="M80" s="204" t="n"/>
    </row>
    <row r="81" hidden="1" outlineLevel="2">
      <c r="A81" s="182" t="n"/>
      <c r="B81" s="205" t="n">
        <v>1</v>
      </c>
      <c r="C81" s="184" t="inlineStr">
        <is>
          <t>Structural engineer and planning application.</t>
        </is>
      </c>
      <c r="D81" s="185" t="inlineStr">
        <is>
          <t>post</t>
        </is>
      </c>
      <c r="E81" s="186">
        <f>K81</f>
        <v/>
      </c>
      <c r="F81" s="477">
        <f>CEILING(L81*$M$7,$M$8)</f>
        <v/>
      </c>
      <c r="G81" s="477">
        <f>ROUND(E81*F81,0)</f>
        <v/>
      </c>
      <c r="H81" s="188" t="n"/>
      <c r="I81" s="189" t="inlineStr">
        <is>
          <t>Bouwkundige</t>
        </is>
      </c>
      <c r="J81" s="188" t="n"/>
      <c r="K81" s="478" t="n">
        <v>0</v>
      </c>
      <c r="L81" s="481" t="n">
        <v>0</v>
      </c>
      <c r="M81" s="480">
        <f>K81*L81</f>
        <v/>
      </c>
    </row>
    <row r="82" hidden="1" outlineLevel="2">
      <c r="A82" s="182" t="n"/>
      <c r="B82" s="205" t="n">
        <v>2</v>
      </c>
      <c r="C82" s="184" t="inlineStr">
        <is>
          <t>Opening and structural works for the entrance.</t>
        </is>
      </c>
      <c r="D82" s="185" t="inlineStr">
        <is>
          <t>post</t>
        </is>
      </c>
      <c r="E82" s="186">
        <f>K82</f>
        <v/>
      </c>
      <c r="F82" s="477">
        <f>CEILING(L82*$M$7,$M$8)</f>
        <v/>
      </c>
      <c r="G82" s="477">
        <f>ROUND(E82*F82,0)</f>
        <v/>
      </c>
      <c r="H82" s="188" t="n"/>
      <c r="I82" s="189" t="inlineStr">
        <is>
          <t>Bouwkundige</t>
        </is>
      </c>
      <c r="J82" s="188" t="n"/>
      <c r="K82" s="478" t="n">
        <v>0</v>
      </c>
      <c r="L82" s="481" t="n">
        <v>0</v>
      </c>
      <c r="M82" s="480">
        <f>K82*L82</f>
        <v/>
      </c>
    </row>
    <row r="83" hidden="1" outlineLevel="2">
      <c r="A83" s="182" t="n"/>
      <c r="B83" s="205" t="n">
        <v>3</v>
      </c>
      <c r="C83" s="184" t="inlineStr">
        <is>
          <t>Modifications to the entrance façade / turnstile … [Describe]</t>
        </is>
      </c>
      <c r="D83" s="185" t="inlineStr">
        <is>
          <t>post</t>
        </is>
      </c>
      <c r="E83" s="186">
        <f>K83</f>
        <v/>
      </c>
      <c r="F83" s="477">
        <f>CEILING(L83*$M$7,$M$8)</f>
        <v/>
      </c>
      <c r="G83" s="477">
        <f>ROUND(E83*F83,0)</f>
        <v/>
      </c>
      <c r="H83" s="188" t="n"/>
      <c r="I83" s="189" t="inlineStr">
        <is>
          <t>Bouwkundige</t>
        </is>
      </c>
      <c r="J83" s="188" t="n"/>
      <c r="K83" s="478" t="n">
        <v>0</v>
      </c>
      <c r="L83" s="481" t="n">
        <v>0</v>
      </c>
      <c r="M83" s="480">
        <f>K83*L83</f>
        <v/>
      </c>
    </row>
    <row r="84" hidden="1" outlineLevel="2">
      <c r="A84" s="182" t="n"/>
      <c r="B84" s="205" t="n">
        <v>4</v>
      </c>
      <c r="C84" s="184" t="inlineStr">
        <is>
          <t>Entrance mat and floor finish. [Describe]</t>
        </is>
      </c>
      <c r="D84" s="185" t="inlineStr">
        <is>
          <t>post</t>
        </is>
      </c>
      <c r="E84" s="186">
        <f>K84</f>
        <v/>
      </c>
      <c r="F84" s="477">
        <f>CEILING(L84*$M$7,$M$8)</f>
        <v/>
      </c>
      <c r="G84" s="477">
        <f>ROUND(E84*F84,0)</f>
        <v/>
      </c>
      <c r="H84" s="188" t="n"/>
      <c r="I84" s="189" t="inlineStr">
        <is>
          <t>Bouwkundige</t>
        </is>
      </c>
      <c r="J84" s="188" t="n"/>
      <c r="K84" s="478" t="n">
        <v>0</v>
      </c>
      <c r="L84" s="481" t="n">
        <v>0</v>
      </c>
      <c r="M84" s="480">
        <f>K84*L84</f>
        <v/>
      </c>
    </row>
    <row r="85" hidden="1" outlineLevel="2">
      <c r="A85" s="182" t="n"/>
      <c r="B85" s="183" t="n">
        <v>5</v>
      </c>
      <c r="C85" s="184" t="n"/>
      <c r="D85" s="185" t="inlineStr">
        <is>
          <t>post</t>
        </is>
      </c>
      <c r="E85" s="186">
        <f>K85</f>
        <v/>
      </c>
      <c r="F85" s="477">
        <f>CEILING(L85*$M$7,$M$8)</f>
        <v/>
      </c>
      <c r="G85" s="477">
        <f>ROUND(E85*F85,0)</f>
        <v/>
      </c>
      <c r="H85" s="194" t="n"/>
      <c r="I85" s="189" t="inlineStr">
        <is>
          <t>Bouwkundige</t>
        </is>
      </c>
      <c r="J85" s="194" t="n"/>
      <c r="K85" s="478" t="n">
        <v>0</v>
      </c>
      <c r="L85" s="481" t="n">
        <v>0</v>
      </c>
      <c r="M85" s="480">
        <f>K85*L85</f>
        <v/>
      </c>
    </row>
    <row r="86" hidden="1" outlineLevel="2">
      <c r="A86" s="182" t="n"/>
      <c r="B86" s="183" t="n">
        <v>6</v>
      </c>
      <c r="C86" s="184" t="n"/>
      <c r="D86" s="185" t="inlineStr">
        <is>
          <t>post</t>
        </is>
      </c>
      <c r="E86" s="186">
        <f>K86</f>
        <v/>
      </c>
      <c r="F86" s="477">
        <f>CEILING(L86*$M$7,$M$8)</f>
        <v/>
      </c>
      <c r="G86" s="477">
        <f>ROUND(E86*F86,0)</f>
        <v/>
      </c>
      <c r="H86" s="194" t="n"/>
      <c r="I86" s="189" t="inlineStr">
        <is>
          <t>Bouwkundige</t>
        </is>
      </c>
      <c r="J86" s="194" t="n"/>
      <c r="K86" s="478" t="n">
        <v>0</v>
      </c>
      <c r="L86" s="481" t="n">
        <v>0</v>
      </c>
      <c r="M86" s="480">
        <f>K86*L86</f>
        <v/>
      </c>
    </row>
    <row r="87" hidden="1" outlineLevel="2">
      <c r="A87" s="182" t="n"/>
      <c r="B87" s="183" t="n">
        <v>7</v>
      </c>
      <c r="C87" s="184" t="n"/>
      <c r="D87" s="185" t="inlineStr">
        <is>
          <t>post</t>
        </is>
      </c>
      <c r="E87" s="186">
        <f>K87</f>
        <v/>
      </c>
      <c r="F87" s="477">
        <f>CEILING(L87*$M$7,$M$8)</f>
        <v/>
      </c>
      <c r="G87" s="477">
        <f>ROUND(E87*F87,0)</f>
        <v/>
      </c>
      <c r="H87" s="194" t="n"/>
      <c r="I87" s="189" t="inlineStr">
        <is>
          <t>Bouwkundige</t>
        </is>
      </c>
      <c r="J87" s="194" t="n"/>
      <c r="K87" s="478" t="n">
        <v>0</v>
      </c>
      <c r="L87" s="481" t="n">
        <v>0</v>
      </c>
      <c r="M87" s="480">
        <f>K87*L87</f>
        <v/>
      </c>
    </row>
    <row r="88" hidden="1" outlineLevel="2">
      <c r="A88" s="182" t="n"/>
      <c r="B88" s="183" t="n">
        <v>8</v>
      </c>
      <c r="C88" s="184" t="n"/>
      <c r="D88" s="185" t="inlineStr">
        <is>
          <t>post</t>
        </is>
      </c>
      <c r="E88" s="186">
        <f>K88</f>
        <v/>
      </c>
      <c r="F88" s="477">
        <f>CEILING(L88*$M$7,$M$8)</f>
        <v/>
      </c>
      <c r="G88" s="477">
        <f>ROUND(E88*F88,0)</f>
        <v/>
      </c>
      <c r="H88" s="194" t="n"/>
      <c r="I88" s="189" t="inlineStr">
        <is>
          <t>Bouwkundige</t>
        </is>
      </c>
      <c r="J88" s="194" t="n"/>
      <c r="K88" s="478" t="n">
        <v>0</v>
      </c>
      <c r="L88" s="481" t="n">
        <v>0</v>
      </c>
      <c r="M88" s="480">
        <f>K88*L88</f>
        <v/>
      </c>
    </row>
    <row r="89" hidden="1" outlineLevel="2">
      <c r="A89" s="182" t="n"/>
      <c r="B89" s="183" t="n">
        <v>9</v>
      </c>
      <c r="C89" s="184" t="n"/>
      <c r="D89" s="185" t="inlineStr">
        <is>
          <t>post</t>
        </is>
      </c>
      <c r="E89" s="186">
        <f>K89</f>
        <v/>
      </c>
      <c r="F89" s="477">
        <f>CEILING(L89*$M$7,$M$8)</f>
        <v/>
      </c>
      <c r="G89" s="477">
        <f>ROUND(E89*F89,0)</f>
        <v/>
      </c>
      <c r="H89" s="194" t="n"/>
      <c r="I89" s="189" t="inlineStr">
        <is>
          <t>Bouwkundige</t>
        </is>
      </c>
      <c r="J89" s="194" t="n"/>
      <c r="K89" s="478" t="n">
        <v>0</v>
      </c>
      <c r="L89" s="481" t="n">
        <v>0</v>
      </c>
      <c r="M89" s="480">
        <f>K89*L89</f>
        <v/>
      </c>
    </row>
    <row r="90" hidden="1" outlineLevel="2">
      <c r="A90" s="182" t="n"/>
      <c r="B90" s="183" t="n">
        <v>10</v>
      </c>
      <c r="C90" s="184" t="n"/>
      <c r="D90" s="185" t="inlineStr">
        <is>
          <t>post</t>
        </is>
      </c>
      <c r="E90" s="186">
        <f>K90</f>
        <v/>
      </c>
      <c r="F90" s="477">
        <f>CEILING(L90*$M$7,$M$8)</f>
        <v/>
      </c>
      <c r="G90" s="477">
        <f>ROUND(E90*F90,0)</f>
        <v/>
      </c>
      <c r="H90" s="194" t="n"/>
      <c r="I90" s="189" t="inlineStr">
        <is>
          <t>Bouwkundige</t>
        </is>
      </c>
      <c r="J90" s="194" t="n"/>
      <c r="K90" s="478" t="n">
        <v>0</v>
      </c>
      <c r="L90" s="481" t="n">
        <v>0</v>
      </c>
      <c r="M90" s="480">
        <f>K90*L90</f>
        <v/>
      </c>
    </row>
    <row r="91" hidden="1" outlineLevel="2">
      <c r="A91" s="182" t="n"/>
      <c r="B91" s="183" t="n"/>
      <c r="C91" s="206" t="n"/>
      <c r="D91" s="185" t="n"/>
      <c r="E91" s="486" t="n"/>
      <c r="F91" s="477" t="n"/>
      <c r="G91" s="487">
        <f>SUM(G81:G84)</f>
        <v/>
      </c>
      <c r="H91" s="188" t="n"/>
      <c r="I91" s="189" t="n"/>
      <c r="J91" s="188" t="n"/>
      <c r="K91" s="478" t="n"/>
      <c r="L91" s="479" t="n"/>
      <c r="M91" s="488">
        <f>SUM(M81:M84)</f>
        <v/>
      </c>
    </row>
    <row r="92" hidden="1" outlineLevel="2">
      <c r="A92" s="182" t="n"/>
      <c r="B92" s="405" t="n">
        <v>134</v>
      </c>
      <c r="C92" s="283" t="inlineStr">
        <is>
          <t>Kitchen</t>
        </is>
      </c>
      <c r="D92" s="283" t="n"/>
      <c r="E92" s="284" t="n"/>
      <c r="F92" s="284" t="n"/>
      <c r="G92" s="284" t="n"/>
      <c r="H92" s="285" t="n"/>
      <c r="I92" s="283" t="n"/>
      <c r="J92" s="285" t="n"/>
      <c r="K92" s="204" t="n"/>
      <c r="L92" s="204" t="n"/>
      <c r="M92" s="204" t="n"/>
    </row>
    <row r="93" hidden="1" outlineLevel="2">
      <c r="A93" s="182" t="n"/>
      <c r="B93" s="183" t="n">
        <v>1</v>
      </c>
      <c r="C93" s="206" t="inlineStr">
        <is>
          <t>Kitchen appliances …. [Describe]</t>
        </is>
      </c>
      <c r="D93" s="185" t="inlineStr">
        <is>
          <t>post</t>
        </is>
      </c>
      <c r="E93" s="186">
        <f>K93</f>
        <v/>
      </c>
      <c r="F93" s="477">
        <f>CEILING(L93*$M$7,$M$8)</f>
        <v/>
      </c>
      <c r="G93" s="487">
        <f>ROUND(E93*F93,0)</f>
        <v/>
      </c>
      <c r="H93" s="188" t="n"/>
      <c r="I93" s="189" t="inlineStr">
        <is>
          <t>Keuken</t>
        </is>
      </c>
      <c r="J93" s="188" t="n"/>
      <c r="K93" s="478" t="n">
        <v>0</v>
      </c>
      <c r="L93" s="481" t="n">
        <v>0</v>
      </c>
      <c r="M93" s="480">
        <f>K93*L93</f>
        <v/>
      </c>
    </row>
    <row r="94" hidden="1" outlineLevel="2">
      <c r="A94" s="182" t="n"/>
      <c r="B94" s="183" t="n">
        <v>2</v>
      </c>
      <c r="C94" s="206" t="inlineStr">
        <is>
          <t>Kitchen appliances …. [Describe]</t>
        </is>
      </c>
      <c r="D94" s="185" t="inlineStr">
        <is>
          <t>post</t>
        </is>
      </c>
      <c r="E94" s="186">
        <f>K94</f>
        <v/>
      </c>
      <c r="F94" s="477">
        <f>CEILING(L94*$M$7,$M$8)</f>
        <v/>
      </c>
      <c r="G94" s="487">
        <f>ROUND(E94*F94,0)</f>
        <v/>
      </c>
      <c r="H94" s="188" t="n"/>
      <c r="I94" s="189" t="inlineStr">
        <is>
          <t>Keuken</t>
        </is>
      </c>
      <c r="J94" s="188" t="n"/>
      <c r="K94" s="478" t="n">
        <v>0</v>
      </c>
      <c r="L94" s="479" t="n">
        <v>0</v>
      </c>
      <c r="M94" s="488">
        <f>K94*L94</f>
        <v/>
      </c>
    </row>
    <row r="95" hidden="1" outlineLevel="2">
      <c r="A95" s="182" t="n"/>
      <c r="B95" s="183" t="n">
        <v>3</v>
      </c>
      <c r="C95" s="206" t="inlineStr">
        <is>
          <t>Kitchen extractor …. [Describe]</t>
        </is>
      </c>
      <c r="D95" s="185" t="inlineStr">
        <is>
          <t>post</t>
        </is>
      </c>
      <c r="E95" s="186">
        <f>K95</f>
        <v/>
      </c>
      <c r="F95" s="477">
        <f>CEILING(L95*$M$7,$M$8)</f>
        <v/>
      </c>
      <c r="G95" s="487">
        <f>ROUND(E95*F95,0)</f>
        <v/>
      </c>
      <c r="H95" s="188" t="n"/>
      <c r="I95" s="189" t="inlineStr">
        <is>
          <t>Keuken</t>
        </is>
      </c>
      <c r="J95" s="188" t="n"/>
      <c r="K95" s="478" t="n">
        <v>0</v>
      </c>
      <c r="L95" s="479" t="n">
        <v>0</v>
      </c>
      <c r="M95" s="488">
        <f>K95*L95</f>
        <v/>
      </c>
    </row>
    <row r="96" hidden="1" outlineLevel="2">
      <c r="A96" s="182" t="n"/>
      <c r="B96" s="183" t="n">
        <v>4</v>
      </c>
      <c r="C96" s="206" t="inlineStr">
        <is>
          <t>Freestanding kitchen units. [Describe]</t>
        </is>
      </c>
      <c r="D96" s="185" t="inlineStr">
        <is>
          <t>post</t>
        </is>
      </c>
      <c r="E96" s="186">
        <f>K96</f>
        <v/>
      </c>
      <c r="F96" s="477">
        <f>CEILING(L96*$M$7,$M$8)</f>
        <v/>
      </c>
      <c r="G96" s="487">
        <f>ROUND(E96*F96,0)</f>
        <v/>
      </c>
      <c r="H96" s="188" t="n"/>
      <c r="I96" s="189" t="inlineStr">
        <is>
          <t>Keuken</t>
        </is>
      </c>
      <c r="J96" s="188" t="n"/>
      <c r="K96" s="478" t="n">
        <v>0</v>
      </c>
      <c r="L96" s="479" t="n">
        <v>0</v>
      </c>
      <c r="M96" s="488">
        <f>K96*L96</f>
        <v/>
      </c>
    </row>
    <row r="97" hidden="1" outlineLevel="2">
      <c r="A97" s="182" t="n"/>
      <c r="B97" s="183" t="n">
        <v>5</v>
      </c>
      <c r="C97" s="206" t="inlineStr">
        <is>
          <t>MS Walls for kitchen, utility room and storage (including hollow skirting boards).</t>
        </is>
      </c>
      <c r="D97" s="185" t="inlineStr">
        <is>
          <t>post</t>
        </is>
      </c>
      <c r="E97" s="186">
        <f>K97</f>
        <v/>
      </c>
      <c r="F97" s="477">
        <f>CEILING(L97*$M$7,$M$8)</f>
        <v/>
      </c>
      <c r="G97" s="487">
        <f>ROUND(E97*F97,0)</f>
        <v/>
      </c>
      <c r="H97" s="188" t="n"/>
      <c r="I97" s="189" t="inlineStr">
        <is>
          <t>Keuken</t>
        </is>
      </c>
      <c r="J97" s="188" t="n"/>
      <c r="K97" s="478" t="n">
        <v>0</v>
      </c>
      <c r="L97" s="479" t="n">
        <v>0</v>
      </c>
      <c r="M97" s="488">
        <f>K97*L97</f>
        <v/>
      </c>
    </row>
    <row r="98" hidden="1" outlineLevel="2">
      <c r="A98" s="182" t="n"/>
      <c r="B98" s="183" t="n">
        <v>6</v>
      </c>
      <c r="C98" s="206" t="inlineStr">
        <is>
          <t>Kitchen floor finish including hollow skirting boards. [Describe]</t>
        </is>
      </c>
      <c r="D98" s="185" t="inlineStr">
        <is>
          <t>post</t>
        </is>
      </c>
      <c r="E98" s="186">
        <f>K98</f>
        <v/>
      </c>
      <c r="F98" s="477">
        <f>CEILING(L98*$M$7,$M$8)</f>
        <v/>
      </c>
      <c r="G98" s="487">
        <f>ROUND(E98*F98,0)</f>
        <v/>
      </c>
      <c r="H98" s="188" t="n"/>
      <c r="I98" s="189" t="inlineStr">
        <is>
          <t>Keuken</t>
        </is>
      </c>
      <c r="J98" s="188" t="n"/>
      <c r="K98" s="478" t="n">
        <v>0</v>
      </c>
      <c r="L98" s="479" t="n">
        <v>0</v>
      </c>
      <c r="M98" s="488">
        <f>K98*L98</f>
        <v/>
      </c>
    </row>
    <row r="99" hidden="1" outlineLevel="2">
      <c r="A99" s="182" t="n"/>
      <c r="B99" s="183" t="n">
        <v>7</v>
      </c>
      <c r="C99" s="206" t="inlineStr">
        <is>
          <t>Kitchen wall finish. [Describe]</t>
        </is>
      </c>
      <c r="D99" s="185" t="inlineStr">
        <is>
          <t>post</t>
        </is>
      </c>
      <c r="E99" s="186">
        <f>K99</f>
        <v/>
      </c>
      <c r="F99" s="477">
        <f>CEILING(L99*$M$7,$M$8)</f>
        <v/>
      </c>
      <c r="G99" s="487">
        <f>ROUND(E99*F99,0)</f>
        <v/>
      </c>
      <c r="H99" s="188" t="n"/>
      <c r="I99" s="189" t="inlineStr">
        <is>
          <t>Keuken</t>
        </is>
      </c>
      <c r="J99" s="188" t="n"/>
      <c r="K99" s="478" t="n">
        <v>0</v>
      </c>
      <c r="L99" s="479" t="n">
        <v>0</v>
      </c>
      <c r="M99" s="488">
        <f>K99*L99</f>
        <v/>
      </c>
    </row>
    <row r="100" hidden="1" outlineLevel="2">
      <c r="A100" s="182" t="n"/>
      <c r="B100" s="183" t="n">
        <v>8</v>
      </c>
      <c r="C100" s="206" t="inlineStr">
        <is>
          <t>Hygienic kitchen ceiling. [Describe]</t>
        </is>
      </c>
      <c r="D100" s="185" t="inlineStr">
        <is>
          <t>post</t>
        </is>
      </c>
      <c r="E100" s="186">
        <f>K100</f>
        <v/>
      </c>
      <c r="F100" s="477">
        <f>CEILING(L100*$M$7,$M$8)</f>
        <v/>
      </c>
      <c r="G100" s="487">
        <f>ROUND(E100*F100,0)</f>
        <v/>
      </c>
      <c r="H100" s="188" t="n"/>
      <c r="I100" s="189" t="inlineStr">
        <is>
          <t>Keuken</t>
        </is>
      </c>
      <c r="J100" s="188" t="n"/>
      <c r="K100" s="478" t="n">
        <v>0</v>
      </c>
      <c r="L100" s="479" t="n">
        <v>0</v>
      </c>
      <c r="M100" s="488">
        <f>K100*L100</f>
        <v/>
      </c>
    </row>
    <row r="101" hidden="1" outlineLevel="2">
      <c r="A101" s="182" t="n"/>
      <c r="B101" s="183" t="n">
        <v>9</v>
      </c>
      <c r="C101" s="206" t="inlineStr">
        <is>
          <t>Window frames and doors (including H- and S-work).</t>
        </is>
      </c>
      <c r="D101" s="185" t="inlineStr">
        <is>
          <t>post</t>
        </is>
      </c>
      <c r="E101" s="186">
        <f>K101</f>
        <v/>
      </c>
      <c r="F101" s="477">
        <f>CEILING(L101*$M$7,$M$8)</f>
        <v/>
      </c>
      <c r="G101" s="487">
        <f>ROUND(E101*F101,0)</f>
        <v/>
      </c>
      <c r="H101" s="188" t="n"/>
      <c r="I101" s="189" t="inlineStr">
        <is>
          <t>Keuken</t>
        </is>
      </c>
      <c r="J101" s="188" t="n"/>
      <c r="K101" s="478" t="n">
        <v>0</v>
      </c>
      <c r="L101" s="479" t="n">
        <v>0</v>
      </c>
      <c r="M101" s="488">
        <f>K101*L101</f>
        <v/>
      </c>
    </row>
    <row r="102" hidden="1" outlineLevel="2">
      <c r="A102" s="182" t="n"/>
      <c r="B102" s="183" t="n">
        <v>10</v>
      </c>
      <c r="C102" s="206" t="inlineStr">
        <is>
          <t>Other kitchen fittings. [Specify]</t>
        </is>
      </c>
      <c r="D102" s="185" t="inlineStr">
        <is>
          <t>post</t>
        </is>
      </c>
      <c r="E102" s="186">
        <f>K102</f>
        <v/>
      </c>
      <c r="F102" s="477">
        <f>CEILING(L102*$M$7,$M$8)</f>
        <v/>
      </c>
      <c r="G102" s="487">
        <f>ROUND(E102*F102,0)</f>
        <v/>
      </c>
      <c r="H102" s="188" t="n"/>
      <c r="I102" s="189" t="inlineStr">
        <is>
          <t>Keuken</t>
        </is>
      </c>
      <c r="J102" s="188" t="n"/>
      <c r="K102" s="478" t="n">
        <v>0</v>
      </c>
      <c r="L102" s="479" t="n">
        <v>0</v>
      </c>
      <c r="M102" s="488">
        <f>K102*L102</f>
        <v/>
      </c>
    </row>
    <row r="103" hidden="1" outlineLevel="2">
      <c r="A103" s="182" t="n"/>
      <c r="B103" s="183" t="n">
        <v>11</v>
      </c>
      <c r="C103" s="206" t="inlineStr">
        <is>
          <t>Electrical installation for connecting appliances (including connection of appliances).</t>
        </is>
      </c>
      <c r="D103" s="185" t="inlineStr">
        <is>
          <t>post</t>
        </is>
      </c>
      <c r="E103" s="186">
        <f>K103</f>
        <v/>
      </c>
      <c r="F103" s="477">
        <f>CEILING(L103*$M$7,$M$8)</f>
        <v/>
      </c>
      <c r="G103" s="487">
        <f>ROUND(E103*F103,0)</f>
        <v/>
      </c>
      <c r="H103" s="188" t="n"/>
      <c r="I103" s="189" t="inlineStr">
        <is>
          <t>Keuken</t>
        </is>
      </c>
      <c r="J103" s="188" t="n"/>
      <c r="K103" s="478" t="n">
        <v>0</v>
      </c>
      <c r="L103" s="479" t="n">
        <v>0</v>
      </c>
      <c r="M103" s="488">
        <f>K103*L103</f>
        <v/>
      </c>
    </row>
    <row r="104" hidden="1" outlineLevel="2">
      <c r="A104" s="182" t="n"/>
      <c r="B104" s="183" t="n">
        <v>12</v>
      </c>
      <c r="C104" s="206" t="inlineStr">
        <is>
          <t>Splash-proof lighting for the kitchen (including switchgear). [Specify]</t>
        </is>
      </c>
      <c r="D104" s="185" t="inlineStr">
        <is>
          <t>post</t>
        </is>
      </c>
      <c r="E104" s="186">
        <f>K104</f>
        <v/>
      </c>
      <c r="F104" s="477">
        <f>CEILING(L104*$M$7,$M$8)</f>
        <v/>
      </c>
      <c r="G104" s="487">
        <f>ROUND(E104*F104,0)</f>
        <v/>
      </c>
      <c r="H104" s="188" t="n"/>
      <c r="I104" s="189" t="inlineStr">
        <is>
          <t>Keuken</t>
        </is>
      </c>
      <c r="J104" s="188" t="n"/>
      <c r="K104" s="478" t="n">
        <v>0</v>
      </c>
      <c r="L104" s="479" t="n">
        <v>0</v>
      </c>
      <c r="M104" s="488">
        <f>K104*L104</f>
        <v/>
      </c>
    </row>
    <row r="105" hidden="1" outlineLevel="2">
      <c r="A105" s="182" t="n"/>
      <c r="B105" s="183" t="n">
        <v>13</v>
      </c>
      <c r="C105" s="206" t="inlineStr">
        <is>
          <t>Plumbing installation for kitchen and utility room. [Describe]</t>
        </is>
      </c>
      <c r="D105" s="185" t="inlineStr">
        <is>
          <t>post</t>
        </is>
      </c>
      <c r="E105" s="186">
        <f>K105</f>
        <v/>
      </c>
      <c r="F105" s="477">
        <f>CEILING(L105*$M$7,$M$8)</f>
        <v/>
      </c>
      <c r="G105" s="487">
        <f>ROUND(E105*F105,0)</f>
        <v/>
      </c>
      <c r="H105" s="188" t="n"/>
      <c r="I105" s="189" t="inlineStr">
        <is>
          <t>Keuken</t>
        </is>
      </c>
      <c r="J105" s="188" t="n"/>
      <c r="K105" s="478" t="n">
        <v>0</v>
      </c>
      <c r="L105" s="479" t="n">
        <v>0</v>
      </c>
      <c r="M105" s="488">
        <f>K105*L105</f>
        <v/>
      </c>
    </row>
    <row r="106" hidden="1" outlineLevel="2">
      <c r="A106" s="182" t="n"/>
      <c r="B106" s="183" t="n">
        <v>14</v>
      </c>
      <c r="C106" s="206" t="inlineStr">
        <is>
          <t>Facilities for kitchen extractor. [Describe]</t>
        </is>
      </c>
      <c r="D106" s="185" t="inlineStr">
        <is>
          <t>post</t>
        </is>
      </c>
      <c r="E106" s="186">
        <f>K106</f>
        <v/>
      </c>
      <c r="F106" s="477">
        <f>CEILING(L106*$M$7,$M$8)</f>
        <v/>
      </c>
      <c r="G106" s="487">
        <f>ROUND(E106*F106,0)</f>
        <v/>
      </c>
      <c r="H106" s="188" t="n"/>
      <c r="I106" s="189" t="inlineStr">
        <is>
          <t>Keuken</t>
        </is>
      </c>
      <c r="J106" s="188" t="n"/>
      <c r="K106" s="478" t="n">
        <v>0</v>
      </c>
      <c r="L106" s="479" t="n">
        <v>0</v>
      </c>
      <c r="M106" s="488">
        <f>K106*L106</f>
        <v/>
      </c>
    </row>
    <row r="107" hidden="1" outlineLevel="2" ht="25.5" customHeight="1">
      <c r="A107" s="182" t="n"/>
      <c r="B107" s="183" t="n">
        <v>15</v>
      </c>
      <c r="C107" s="206" t="inlineStr">
        <is>
          <t>Plumbing work for kitchen and utility room (including boiler, appliance connections, grease trap, etc.) [Describe]</t>
        </is>
      </c>
      <c r="D107" s="185" t="inlineStr">
        <is>
          <t>post</t>
        </is>
      </c>
      <c r="E107" s="186">
        <f>K107</f>
        <v/>
      </c>
      <c r="F107" s="477">
        <f>CEILING(L107*$M$7,$M$8)</f>
        <v/>
      </c>
      <c r="G107" s="487">
        <f>ROUND(E107*F107,0)</f>
        <v/>
      </c>
      <c r="H107" s="188" t="n"/>
      <c r="I107" s="189" t="inlineStr">
        <is>
          <t>Keuken</t>
        </is>
      </c>
      <c r="J107" s="188" t="n"/>
      <c r="K107" s="478" t="n">
        <v>0</v>
      </c>
      <c r="L107" s="479" t="n">
        <v>0</v>
      </c>
      <c r="M107" s="488">
        <f>K107*L107</f>
        <v/>
      </c>
    </row>
    <row r="108" hidden="1" outlineLevel="2">
      <c r="A108" s="182" t="n"/>
      <c r="B108" s="183" t="n">
        <v>16</v>
      </c>
      <c r="C108" s="184" t="n"/>
      <c r="D108" s="185" t="inlineStr">
        <is>
          <t>post</t>
        </is>
      </c>
      <c r="E108" s="186">
        <f>K108</f>
        <v/>
      </c>
      <c r="F108" s="477">
        <f>CEILING(L108*$M$7,$M$8)</f>
        <v/>
      </c>
      <c r="G108" s="477">
        <f>ROUND(E108*F108,0)</f>
        <v/>
      </c>
      <c r="H108" s="194" t="n"/>
      <c r="I108" s="189" t="inlineStr">
        <is>
          <t>Keuken</t>
        </is>
      </c>
      <c r="J108" s="194" t="n"/>
      <c r="K108" s="478" t="n">
        <v>0</v>
      </c>
      <c r="L108" s="481" t="n">
        <v>0</v>
      </c>
      <c r="M108" s="480">
        <f>K108*L108</f>
        <v/>
      </c>
    </row>
    <row r="109" hidden="1" outlineLevel="2">
      <c r="A109" s="182" t="n"/>
      <c r="B109" s="183" t="n">
        <v>17</v>
      </c>
      <c r="C109" s="184" t="n"/>
      <c r="D109" s="185" t="inlineStr">
        <is>
          <t>post</t>
        </is>
      </c>
      <c r="E109" s="186">
        <f>K109</f>
        <v/>
      </c>
      <c r="F109" s="477">
        <f>CEILING(L109*$M$7,$M$8)</f>
        <v/>
      </c>
      <c r="G109" s="477">
        <f>ROUND(E109*F109,0)</f>
        <v/>
      </c>
      <c r="H109" s="194" t="n"/>
      <c r="I109" s="189" t="inlineStr">
        <is>
          <t>Keuken</t>
        </is>
      </c>
      <c r="J109" s="194" t="n"/>
      <c r="K109" s="478" t="n">
        <v>0</v>
      </c>
      <c r="L109" s="481" t="n">
        <v>0</v>
      </c>
      <c r="M109" s="480">
        <f>K109*L109</f>
        <v/>
      </c>
    </row>
    <row r="110" hidden="1" outlineLevel="2">
      <c r="A110" s="182" t="n"/>
      <c r="B110" s="183" t="n">
        <v>18</v>
      </c>
      <c r="C110" s="184" t="n"/>
      <c r="D110" s="185" t="inlineStr">
        <is>
          <t>post</t>
        </is>
      </c>
      <c r="E110" s="186">
        <f>K110</f>
        <v/>
      </c>
      <c r="F110" s="477">
        <f>CEILING(L110*$M$7,$M$8)</f>
        <v/>
      </c>
      <c r="G110" s="477">
        <f>ROUND(E110*F110,0)</f>
        <v/>
      </c>
      <c r="H110" s="194" t="n"/>
      <c r="I110" s="189" t="inlineStr">
        <is>
          <t>Keuken</t>
        </is>
      </c>
      <c r="J110" s="194" t="n"/>
      <c r="K110" s="478" t="n">
        <v>0</v>
      </c>
      <c r="L110" s="481" t="n">
        <v>0</v>
      </c>
      <c r="M110" s="480">
        <f>K110*L110</f>
        <v/>
      </c>
    </row>
    <row r="111" hidden="1" outlineLevel="2">
      <c r="A111" s="182" t="n"/>
      <c r="B111" s="183" t="n">
        <v>19</v>
      </c>
      <c r="C111" s="184" t="n"/>
      <c r="D111" s="185" t="inlineStr">
        <is>
          <t>post</t>
        </is>
      </c>
      <c r="E111" s="186">
        <f>K111</f>
        <v/>
      </c>
      <c r="F111" s="477">
        <f>CEILING(L111*$M$7,$M$8)</f>
        <v/>
      </c>
      <c r="G111" s="477">
        <f>ROUND(E111*F111,0)</f>
        <v/>
      </c>
      <c r="H111" s="194" t="n"/>
      <c r="I111" s="189" t="inlineStr">
        <is>
          <t>Keuken</t>
        </is>
      </c>
      <c r="J111" s="194" t="n"/>
      <c r="K111" s="478" t="n">
        <v>0</v>
      </c>
      <c r="L111" s="481" t="n">
        <v>0</v>
      </c>
      <c r="M111" s="480">
        <f>K111*L111</f>
        <v/>
      </c>
    </row>
    <row r="112" hidden="1" outlineLevel="2">
      <c r="A112" s="182" t="n"/>
      <c r="B112" s="183" t="n">
        <v>20</v>
      </c>
      <c r="C112" s="184" t="n"/>
      <c r="D112" s="185" t="inlineStr">
        <is>
          <t>post</t>
        </is>
      </c>
      <c r="E112" s="186">
        <f>K112</f>
        <v/>
      </c>
      <c r="F112" s="477">
        <f>CEILING(L112*$M$7,$M$8)</f>
        <v/>
      </c>
      <c r="G112" s="477">
        <f>ROUND(E112*F112,0)</f>
        <v/>
      </c>
      <c r="H112" s="194" t="n"/>
      <c r="I112" s="189" t="inlineStr">
        <is>
          <t>Keuken</t>
        </is>
      </c>
      <c r="J112" s="194" t="n"/>
      <c r="K112" s="478" t="n">
        <v>0</v>
      </c>
      <c r="L112" s="481" t="n">
        <v>0</v>
      </c>
      <c r="M112" s="480">
        <f>K112*L112</f>
        <v/>
      </c>
    </row>
    <row r="113" hidden="1" outlineLevel="2">
      <c r="A113" s="182" t="n"/>
      <c r="B113" s="183" t="n">
        <v>21</v>
      </c>
      <c r="C113" s="184" t="n"/>
      <c r="D113" s="185" t="inlineStr">
        <is>
          <t>post</t>
        </is>
      </c>
      <c r="E113" s="186">
        <f>K113</f>
        <v/>
      </c>
      <c r="F113" s="477">
        <f>CEILING(L113*$M$7,$M$8)</f>
        <v/>
      </c>
      <c r="G113" s="477">
        <f>ROUND(E113*F113,0)</f>
        <v/>
      </c>
      <c r="H113" s="194" t="n"/>
      <c r="I113" s="189" t="inlineStr">
        <is>
          <t>Keuken</t>
        </is>
      </c>
      <c r="J113" s="194" t="n"/>
      <c r="K113" s="478" t="n">
        <v>0</v>
      </c>
      <c r="L113" s="481" t="n">
        <v>0</v>
      </c>
      <c r="M113" s="480">
        <f>K113*L113</f>
        <v/>
      </c>
    </row>
    <row r="114" hidden="1" outlineLevel="2">
      <c r="A114" s="182" t="n"/>
      <c r="B114" s="183" t="n"/>
      <c r="C114" s="206" t="n"/>
      <c r="D114" s="185" t="n"/>
      <c r="E114" s="486" t="n"/>
      <c r="F114" s="477" t="n"/>
      <c r="G114" s="487">
        <f>SUM(G93:G107)</f>
        <v/>
      </c>
      <c r="H114" s="188" t="n"/>
      <c r="I114" s="189" t="n"/>
      <c r="J114" s="188" t="n"/>
      <c r="K114" s="478" t="n"/>
      <c r="L114" s="479" t="n"/>
      <c r="M114" s="488">
        <f>SUM(M93:M107)</f>
        <v/>
      </c>
    </row>
    <row r="115" hidden="1" outlineLevel="2">
      <c r="A115" s="182" t="n"/>
      <c r="B115" s="405" t="n">
        <v>135</v>
      </c>
      <c r="C115" s="283" t="inlineStr">
        <is>
          <t xml:space="preserve">Other   </t>
        </is>
      </c>
      <c r="D115" s="283" t="n"/>
      <c r="E115" s="284" t="n"/>
      <c r="F115" s="284" t="n"/>
      <c r="G115" s="284" t="n"/>
      <c r="H115" s="285" t="n"/>
      <c r="I115" s="283" t="n"/>
      <c r="J115" s="285" t="n"/>
      <c r="K115" s="204" t="n"/>
      <c r="L115" s="204" t="n"/>
      <c r="M115" s="204" t="n"/>
    </row>
    <row r="116" hidden="1" outlineLevel="2">
      <c r="A116" s="182" t="n"/>
      <c r="B116" s="205" t="n">
        <v>1</v>
      </c>
      <c r="C116" s="184" t="inlineStr">
        <is>
          <t>Other structural components. [Describe]</t>
        </is>
      </c>
      <c r="D116" s="185" t="inlineStr">
        <is>
          <t>post</t>
        </is>
      </c>
      <c r="E116" s="186">
        <f>K116</f>
        <v/>
      </c>
      <c r="F116" s="477">
        <f>CEILING(L116*$M$7,$M$8)</f>
        <v/>
      </c>
      <c r="G116" s="477">
        <f>ROUND(E116*F116,0)</f>
        <v/>
      </c>
      <c r="H116" s="194" t="n"/>
      <c r="I116" s="189" t="inlineStr">
        <is>
          <t>Bouwkundige</t>
        </is>
      </c>
      <c r="J116" s="194" t="n"/>
      <c r="K116" s="478" t="n">
        <v>0</v>
      </c>
      <c r="L116" s="481" t="n">
        <v>0</v>
      </c>
      <c r="M116" s="480">
        <f>K116*L116</f>
        <v/>
      </c>
    </row>
    <row r="117" hidden="1" outlineLevel="2">
      <c r="A117" s="182" t="n"/>
      <c r="B117" s="183" t="n">
        <v>2</v>
      </c>
      <c r="C117" s="184" t="n"/>
      <c r="D117" s="185" t="inlineStr">
        <is>
          <t>post</t>
        </is>
      </c>
      <c r="E117" s="186">
        <f>K117</f>
        <v/>
      </c>
      <c r="F117" s="477">
        <f>CEILING(L117*$M$7,$M$8)</f>
        <v/>
      </c>
      <c r="G117" s="477">
        <f>ROUND(E117*F117,0)</f>
        <v/>
      </c>
      <c r="H117" s="194" t="n"/>
      <c r="I117" s="189" t="inlineStr">
        <is>
          <t>Bouwkundige</t>
        </is>
      </c>
      <c r="J117" s="194" t="n"/>
      <c r="K117" s="478" t="n">
        <v>0</v>
      </c>
      <c r="L117" s="481" t="n">
        <v>0</v>
      </c>
      <c r="M117" s="480">
        <f>K117*L117</f>
        <v/>
      </c>
    </row>
    <row r="118" hidden="1" outlineLevel="2">
      <c r="A118" s="182" t="n"/>
      <c r="B118" s="183" t="n">
        <v>3</v>
      </c>
      <c r="C118" s="184" t="n"/>
      <c r="D118" s="185" t="inlineStr">
        <is>
          <t>post</t>
        </is>
      </c>
      <c r="E118" s="186">
        <f>K118</f>
        <v/>
      </c>
      <c r="F118" s="477">
        <f>CEILING(L118*$M$7,$M$8)</f>
        <v/>
      </c>
      <c r="G118" s="477">
        <f>ROUND(E118*F118,0)</f>
        <v/>
      </c>
      <c r="H118" s="194" t="n"/>
      <c r="I118" s="189" t="inlineStr">
        <is>
          <t>Bouwkundige</t>
        </is>
      </c>
      <c r="J118" s="194" t="n"/>
      <c r="K118" s="478" t="n">
        <v>0</v>
      </c>
      <c r="L118" s="481" t="n">
        <v>0</v>
      </c>
      <c r="M118" s="480">
        <f>K118*L118</f>
        <v/>
      </c>
    </row>
    <row r="119" hidden="1" outlineLevel="2">
      <c r="A119" s="182" t="n"/>
      <c r="B119" s="183" t="n">
        <v>4</v>
      </c>
      <c r="C119" s="184" t="n"/>
      <c r="D119" s="185" t="inlineStr">
        <is>
          <t>post</t>
        </is>
      </c>
      <c r="E119" s="186">
        <f>K119</f>
        <v/>
      </c>
      <c r="F119" s="477">
        <f>CEILING(L119*$M$7,$M$8)</f>
        <v/>
      </c>
      <c r="G119" s="477">
        <f>ROUND(E119*F119,0)</f>
        <v/>
      </c>
      <c r="H119" s="194" t="n"/>
      <c r="I119" s="189" t="inlineStr">
        <is>
          <t>Bouwkundige</t>
        </is>
      </c>
      <c r="J119" s="194" t="n"/>
      <c r="K119" s="478" t="n">
        <v>0</v>
      </c>
      <c r="L119" s="481" t="n">
        <v>0</v>
      </c>
      <c r="M119" s="480">
        <f>K119*L119</f>
        <v/>
      </c>
    </row>
    <row r="120" hidden="1" outlineLevel="2">
      <c r="A120" s="182" t="n"/>
      <c r="B120" s="183" t="n">
        <v>5</v>
      </c>
      <c r="C120" s="184" t="n"/>
      <c r="D120" s="185" t="inlineStr">
        <is>
          <t>post</t>
        </is>
      </c>
      <c r="E120" s="186">
        <f>K120</f>
        <v/>
      </c>
      <c r="F120" s="477">
        <f>CEILING(L120*$M$7,$M$8)</f>
        <v/>
      </c>
      <c r="G120" s="477">
        <f>ROUND(E120*F120,0)</f>
        <v/>
      </c>
      <c r="H120" s="194" t="n"/>
      <c r="I120" s="189" t="inlineStr">
        <is>
          <t>Bouwkundige</t>
        </is>
      </c>
      <c r="J120" s="194" t="n"/>
      <c r="K120" s="478" t="n">
        <v>0</v>
      </c>
      <c r="L120" s="481" t="n">
        <v>0</v>
      </c>
      <c r="M120" s="480">
        <f>K120*L120</f>
        <v/>
      </c>
    </row>
    <row r="121" hidden="1" outlineLevel="2">
      <c r="A121" s="182" t="n"/>
      <c r="B121" s="183" t="n">
        <v>6</v>
      </c>
      <c r="C121" s="184" t="n"/>
      <c r="D121" s="185" t="inlineStr">
        <is>
          <t>post</t>
        </is>
      </c>
      <c r="E121" s="186">
        <f>K121</f>
        <v/>
      </c>
      <c r="F121" s="477">
        <f>CEILING(L121*$M$7,$M$8)</f>
        <v/>
      </c>
      <c r="G121" s="477">
        <f>ROUND(E121*F121,0)</f>
        <v/>
      </c>
      <c r="H121" s="194" t="n"/>
      <c r="I121" s="189" t="inlineStr">
        <is>
          <t>Bouwkundige</t>
        </is>
      </c>
      <c r="J121" s="194" t="n"/>
      <c r="K121" s="478" t="n">
        <v>0</v>
      </c>
      <c r="L121" s="481" t="n">
        <v>0</v>
      </c>
      <c r="M121" s="480">
        <f>K121*L121</f>
        <v/>
      </c>
    </row>
    <row r="122" hidden="1" outlineLevel="2">
      <c r="A122" s="182" t="n"/>
      <c r="B122" s="183" t="n">
        <v>7</v>
      </c>
      <c r="C122" s="184" t="n"/>
      <c r="D122" s="185" t="inlineStr">
        <is>
          <t>post</t>
        </is>
      </c>
      <c r="E122" s="186">
        <f>K122</f>
        <v/>
      </c>
      <c r="F122" s="477">
        <f>CEILING(L122*$M$7,$M$8)</f>
        <v/>
      </c>
      <c r="G122" s="477">
        <f>ROUND(E122*F122,0)</f>
        <v/>
      </c>
      <c r="H122" s="194" t="n"/>
      <c r="I122" s="189" t="inlineStr">
        <is>
          <t>Bouwkundige</t>
        </is>
      </c>
      <c r="J122" s="194" t="n"/>
      <c r="K122" s="478" t="n">
        <v>0</v>
      </c>
      <c r="L122" s="481" t="n">
        <v>0</v>
      </c>
      <c r="M122" s="480">
        <f>K122*L122</f>
        <v/>
      </c>
    </row>
    <row r="123" hidden="1" outlineLevel="2">
      <c r="A123" s="195" t="n"/>
      <c r="B123" s="205" t="n"/>
      <c r="C123" s="184" t="n"/>
      <c r="D123" s="185" t="n"/>
      <c r="E123" s="486" t="n"/>
      <c r="F123" s="477" t="n"/>
      <c r="G123" s="487">
        <f>SUM(G116:G116)</f>
        <v/>
      </c>
      <c r="H123" s="188" t="n"/>
      <c r="I123" s="189" t="n"/>
      <c r="J123" s="188" t="n"/>
      <c r="K123" s="478" t="n"/>
      <c r="L123" s="481" t="n"/>
      <c r="M123" s="489">
        <f>SUM(M116:M116)</f>
        <v/>
      </c>
    </row>
    <row r="124" hidden="1" outlineLevel="2">
      <c r="E124" s="38" t="n"/>
      <c r="F124" s="38" t="n"/>
      <c r="G124" s="482" t="n"/>
      <c r="K124" s="483" t="n"/>
      <c r="M124" s="484" t="n"/>
    </row>
    <row r="125" outlineLevel="1">
      <c r="A125" s="154" t="n"/>
      <c r="E125" s="38" t="n"/>
      <c r="F125" s="38" t="n"/>
      <c r="G125" s="38" t="n"/>
      <c r="K125" s="483" t="n"/>
    </row>
    <row r="126" outlineLevel="2" collapsed="1">
      <c r="A126" s="179" t="n">
        <v>140</v>
      </c>
      <c r="B126" s="279" t="inlineStr">
        <is>
          <t>SANITARY AREAS</t>
        </is>
      </c>
      <c r="C126" s="280" t="n"/>
      <c r="D126" s="280" t="n"/>
      <c r="E126" s="280" t="n"/>
      <c r="F126" s="280" t="n"/>
      <c r="G126" s="280" t="n"/>
      <c r="H126" s="281" t="n"/>
      <c r="I126" s="282" t="n"/>
      <c r="J126" s="281" t="n"/>
      <c r="K126" s="485" t="n"/>
      <c r="L126" s="410" t="n"/>
      <c r="M126" s="199" t="n"/>
    </row>
    <row r="127" hidden="1" outlineLevel="2">
      <c r="A127" s="203" t="n"/>
      <c r="B127" s="405" t="n">
        <v>141</v>
      </c>
      <c r="C127" s="283" t="inlineStr">
        <is>
          <t>Toilet block</t>
        </is>
      </c>
      <c r="D127" s="283" t="n"/>
      <c r="E127" s="284" t="n"/>
      <c r="F127" s="284" t="n"/>
      <c r="G127" s="284" t="n"/>
      <c r="H127" s="285" t="n"/>
      <c r="I127" s="283" t="n"/>
      <c r="J127" s="285" t="n"/>
      <c r="K127" s="204" t="n"/>
      <c r="L127" s="204" t="n"/>
      <c r="M127" s="204" t="n"/>
    </row>
    <row r="128" hidden="1" outlineLevel="2">
      <c r="A128" s="182" t="n"/>
      <c r="B128" s="183" t="n">
        <v>1</v>
      </c>
      <c r="C128" s="206" t="inlineStr">
        <is>
          <t>Floor finish (including sanitary skirting board). [Specify]</t>
        </is>
      </c>
      <c r="D128" s="185" t="inlineStr">
        <is>
          <t>post</t>
        </is>
      </c>
      <c r="E128" s="186">
        <f>K128</f>
        <v/>
      </c>
      <c r="F128" s="490">
        <f>CEILING(L128*$M$7,$M$8)</f>
        <v/>
      </c>
      <c r="G128" s="490">
        <f>ROUND(E128*F128,0)</f>
        <v/>
      </c>
      <c r="H128" s="211" t="n"/>
      <c r="I128" s="212" t="inlineStr">
        <is>
          <t>Sanitair</t>
        </is>
      </c>
      <c r="J128" s="211" t="n"/>
      <c r="K128" s="478" t="n">
        <v>0</v>
      </c>
      <c r="L128" s="481" t="n">
        <v>0</v>
      </c>
      <c r="M128" s="480">
        <f>K128*L128</f>
        <v/>
      </c>
    </row>
    <row r="129" hidden="1" outlineLevel="2">
      <c r="A129" s="182" t="n"/>
      <c r="B129" s="205" t="n">
        <v>2</v>
      </c>
      <c r="C129" s="184" t="inlineStr">
        <is>
          <t>Wall finish …. [Specify]</t>
        </is>
      </c>
      <c r="D129" s="185" t="inlineStr">
        <is>
          <t>post</t>
        </is>
      </c>
      <c r="E129" s="186">
        <f>K129</f>
        <v/>
      </c>
      <c r="F129" s="490">
        <f>CEILING(L129*$M$7,$M$8)</f>
        <v/>
      </c>
      <c r="G129" s="490">
        <f>ROUND(E129*F129,0)</f>
        <v/>
      </c>
      <c r="H129" s="211" t="n"/>
      <c r="I129" s="212" t="inlineStr">
        <is>
          <t>Sanitair</t>
        </is>
      </c>
      <c r="J129" s="211" t="n"/>
      <c r="K129" s="478" t="n">
        <v>0</v>
      </c>
      <c r="L129" s="481" t="n">
        <v>0</v>
      </c>
      <c r="M129" s="480">
        <f>K129*L129</f>
        <v/>
      </c>
    </row>
    <row r="130" hidden="1" outlineLevel="2">
      <c r="A130" s="182" t="n"/>
      <c r="B130" s="205" t="n">
        <v>3</v>
      </c>
      <c r="C130" s="184" t="inlineStr">
        <is>
          <t>Painting. [Specify]</t>
        </is>
      </c>
      <c r="D130" s="185" t="inlineStr">
        <is>
          <t>post</t>
        </is>
      </c>
      <c r="E130" s="186">
        <f>K130</f>
        <v/>
      </c>
      <c r="F130" s="490">
        <f>CEILING(L130*$M$7,$M$8)</f>
        <v/>
      </c>
      <c r="G130" s="490">
        <f>ROUND(E130*F130,0)</f>
        <v/>
      </c>
      <c r="H130" s="211" t="n"/>
      <c r="I130" s="212" t="inlineStr">
        <is>
          <t>Sanitair</t>
        </is>
      </c>
      <c r="J130" s="211" t="n"/>
      <c r="K130" s="478" t="n">
        <v>0</v>
      </c>
      <c r="L130" s="481" t="n">
        <v>0</v>
      </c>
      <c r="M130" s="480">
        <f>K130*L130</f>
        <v/>
      </c>
    </row>
    <row r="131" hidden="1" outlineLevel="2">
      <c r="A131" s="182" t="n"/>
      <c r="B131" s="205" t="n">
        <v>4</v>
      </c>
      <c r="C131" s="184" t="inlineStr">
        <is>
          <t>Window frames and doors (new / replaced).</t>
        </is>
      </c>
      <c r="D131" s="185" t="inlineStr">
        <is>
          <t>post</t>
        </is>
      </c>
      <c r="E131" s="186">
        <f>K131</f>
        <v/>
      </c>
      <c r="F131" s="490">
        <f>CEILING(L131*$M$7,$M$8)</f>
        <v/>
      </c>
      <c r="G131" s="490">
        <f>ROUND(E131*F131,0)</f>
        <v/>
      </c>
      <c r="H131" s="211" t="n"/>
      <c r="I131" s="212" t="inlineStr">
        <is>
          <t>Sanitair</t>
        </is>
      </c>
      <c r="J131" s="211" t="n"/>
      <c r="K131" s="478" t="n">
        <v>0</v>
      </c>
      <c r="L131" s="481" t="n">
        <v>0</v>
      </c>
      <c r="M131" s="480">
        <f>K131*L131</f>
        <v/>
      </c>
    </row>
    <row r="132" hidden="1" outlineLevel="2">
      <c r="A132" s="182" t="n"/>
      <c r="B132" s="205" t="n">
        <v>5</v>
      </c>
      <c r="C132" s="184" t="inlineStr">
        <is>
          <t>Ceiling finish. [Specify]</t>
        </is>
      </c>
      <c r="D132" s="185" t="inlineStr">
        <is>
          <t>post</t>
        </is>
      </c>
      <c r="E132" s="186">
        <f>K132</f>
        <v/>
      </c>
      <c r="F132" s="490">
        <f>CEILING(L132*$M$7,$M$8)</f>
        <v/>
      </c>
      <c r="G132" s="490">
        <f>ROUND(E132*F132,0)</f>
        <v/>
      </c>
      <c r="H132" s="211" t="n"/>
      <c r="I132" s="212" t="inlineStr">
        <is>
          <t>Sanitair</t>
        </is>
      </c>
      <c r="J132" s="211" t="n"/>
      <c r="K132" s="478" t="n">
        <v>0</v>
      </c>
      <c r="L132" s="481" t="n">
        <v>0</v>
      </c>
      <c r="M132" s="480">
        <f>K132*L132</f>
        <v/>
      </c>
    </row>
    <row r="133" hidden="1" outlineLevel="2">
      <c r="A133" s="182" t="n"/>
      <c r="B133" s="205" t="n">
        <v>6</v>
      </c>
      <c r="C133" s="184" t="inlineStr">
        <is>
          <t>Sealant work …. [Specify]</t>
        </is>
      </c>
      <c r="D133" s="185" t="inlineStr">
        <is>
          <t>post</t>
        </is>
      </c>
      <c r="E133" s="186">
        <f>K133</f>
        <v/>
      </c>
      <c r="F133" s="490">
        <f>CEILING(L133*$M$7,$M$8)</f>
        <v/>
      </c>
      <c r="G133" s="490">
        <f>ROUND(E133*F133,0)</f>
        <v/>
      </c>
      <c r="H133" s="211" t="n"/>
      <c r="I133" s="212" t="inlineStr">
        <is>
          <t>Sanitair</t>
        </is>
      </c>
      <c r="J133" s="211" t="n"/>
      <c r="K133" s="478" t="n">
        <v>0</v>
      </c>
      <c r="L133" s="481" t="n">
        <v>0</v>
      </c>
      <c r="M133" s="480">
        <f>K133*L133</f>
        <v/>
      </c>
    </row>
    <row r="134" hidden="1" outlineLevel="2">
      <c r="A134" s="182" t="n"/>
      <c r="B134" s="205" t="n">
        <v>7</v>
      </c>
      <c r="C134" s="184" t="inlineStr">
        <is>
          <t xml:space="preserve"> Modifications to electrical installation &amp; replacement of light fittings. [Specify]</t>
        </is>
      </c>
      <c r="D134" s="185" t="inlineStr">
        <is>
          <t>post</t>
        </is>
      </c>
      <c r="E134" s="186">
        <f>K134</f>
        <v/>
      </c>
      <c r="F134" s="490">
        <f>CEILING(L134*$M$7,$M$8)</f>
        <v/>
      </c>
      <c r="G134" s="490">
        <f>ROUND(E134*F134,0)</f>
        <v/>
      </c>
      <c r="H134" s="214" t="n"/>
      <c r="I134" s="212" t="inlineStr">
        <is>
          <t>Sanitair</t>
        </is>
      </c>
      <c r="J134" s="214" t="n"/>
      <c r="K134" s="478" t="n">
        <v>0</v>
      </c>
      <c r="L134" s="481" t="n">
        <v>0</v>
      </c>
      <c r="M134" s="480">
        <f>K134*L134</f>
        <v/>
      </c>
    </row>
    <row r="135" hidden="1" outlineLevel="2" ht="25.5" customHeight="1">
      <c r="A135" s="182" t="n"/>
      <c r="B135" s="205" t="n">
        <v>8</v>
      </c>
      <c r="C135" s="184" t="inlineStr">
        <is>
          <t xml:space="preserve"> Replacement / New sanitary ware (including concealed cistern, control panel and toilet seat). [Specify]</t>
        </is>
      </c>
      <c r="D135" s="185" t="inlineStr">
        <is>
          <t>post</t>
        </is>
      </c>
      <c r="E135" s="186">
        <f>K135</f>
        <v/>
      </c>
      <c r="F135" s="490">
        <f>CEILING(L135*$M$7,$M$8)</f>
        <v/>
      </c>
      <c r="G135" s="490">
        <f>ROUND(E135*F135,0)</f>
        <v/>
      </c>
      <c r="H135" s="214" t="n"/>
      <c r="I135" s="212" t="inlineStr">
        <is>
          <t>Sanitair</t>
        </is>
      </c>
      <c r="J135" s="214" t="n"/>
      <c r="K135" s="478" t="n">
        <v>0</v>
      </c>
      <c r="L135" s="481" t="n">
        <v>0</v>
      </c>
      <c r="M135" s="480">
        <f>K135*L135</f>
        <v/>
      </c>
    </row>
    <row r="136" hidden="1" outlineLevel="2">
      <c r="A136" s="182" t="n"/>
      <c r="B136" s="205" t="n">
        <v>9</v>
      </c>
      <c r="C136" s="184" t="inlineStr">
        <is>
          <t>Plumbing work. [Specify]</t>
        </is>
      </c>
      <c r="D136" s="185" t="inlineStr">
        <is>
          <t>post</t>
        </is>
      </c>
      <c r="E136" s="186">
        <f>K136</f>
        <v/>
      </c>
      <c r="F136" s="490">
        <f>CEILING(L136*$M$7,$M$8)</f>
        <v/>
      </c>
      <c r="G136" s="490">
        <f>ROUND(E136*F136,0)</f>
        <v/>
      </c>
      <c r="H136" s="214" t="n"/>
      <c r="I136" s="212" t="inlineStr">
        <is>
          <t>Sanitair</t>
        </is>
      </c>
      <c r="J136" s="214" t="n"/>
      <c r="K136" s="478" t="n">
        <v>0</v>
      </c>
      <c r="L136" s="481" t="n">
        <v>0</v>
      </c>
      <c r="M136" s="480">
        <f>K136*L136</f>
        <v/>
      </c>
    </row>
    <row r="137" hidden="1" outlineLevel="2">
      <c r="A137" s="182" t="n"/>
      <c r="B137" s="205" t="n">
        <v>10</v>
      </c>
      <c r="C137" s="184" t="inlineStr">
        <is>
          <t>Sanitary fittings such as mirror/accessories. [Specify]</t>
        </is>
      </c>
      <c r="D137" s="185" t="inlineStr">
        <is>
          <t>post</t>
        </is>
      </c>
      <c r="E137" s="186">
        <f>K137</f>
        <v/>
      </c>
      <c r="F137" s="490">
        <f>CEILING(L137*$M$7,$M$8)</f>
        <v/>
      </c>
      <c r="G137" s="490">
        <f>ROUND(E137*F137,0)</f>
        <v/>
      </c>
      <c r="H137" s="214" t="n"/>
      <c r="I137" s="212" t="inlineStr">
        <is>
          <t>Sanitair</t>
        </is>
      </c>
      <c r="J137" s="214" t="n"/>
      <c r="K137" s="478" t="n">
        <v>0</v>
      </c>
      <c r="L137" s="481" t="n">
        <v>0</v>
      </c>
      <c r="M137" s="480">
        <f>K137*L137</f>
        <v/>
      </c>
    </row>
    <row r="138" hidden="1" outlineLevel="2">
      <c r="A138" s="182" t="n"/>
      <c r="B138" s="205" t="n">
        <v>11</v>
      </c>
      <c r="C138" s="184" t="inlineStr">
        <is>
          <t>Ventilation (including grille). [Specify]</t>
        </is>
      </c>
      <c r="D138" s="185" t="inlineStr">
        <is>
          <t>post</t>
        </is>
      </c>
      <c r="E138" s="186">
        <f>K138</f>
        <v/>
      </c>
      <c r="F138" s="490">
        <f>CEILING(L138*$M$7,$M$8)</f>
        <v/>
      </c>
      <c r="G138" s="490">
        <f>ROUND(E138*F138,0)</f>
        <v/>
      </c>
      <c r="H138" s="214" t="n"/>
      <c r="I138" s="212" t="inlineStr">
        <is>
          <t>Sanitair</t>
        </is>
      </c>
      <c r="J138" s="214" t="n"/>
      <c r="K138" s="478" t="n">
        <v>0</v>
      </c>
      <c r="L138" s="481" t="n">
        <v>0</v>
      </c>
      <c r="M138" s="480">
        <f>K138*L138</f>
        <v/>
      </c>
    </row>
    <row r="139" hidden="1" outlineLevel="2">
      <c r="A139" s="182" t="n"/>
      <c r="B139" s="183" t="n">
        <v>12</v>
      </c>
      <c r="C139" s="184" t="n"/>
      <c r="D139" s="185" t="inlineStr">
        <is>
          <t>post</t>
        </is>
      </c>
      <c r="E139" s="186">
        <f>K139</f>
        <v/>
      </c>
      <c r="F139" s="477">
        <f>CEILING(L139*$M$7,$M$8)</f>
        <v/>
      </c>
      <c r="G139" s="477">
        <f>ROUND(E139*F139,0)</f>
        <v/>
      </c>
      <c r="H139" s="194" t="n"/>
      <c r="I139" s="212" t="inlineStr">
        <is>
          <t>Sanitair</t>
        </is>
      </c>
      <c r="J139" s="194" t="n"/>
      <c r="K139" s="478" t="n">
        <v>0</v>
      </c>
      <c r="L139" s="481" t="n">
        <v>0</v>
      </c>
      <c r="M139" s="480">
        <f>K139*L139</f>
        <v/>
      </c>
    </row>
    <row r="140" hidden="1" outlineLevel="2">
      <c r="A140" s="182" t="n"/>
      <c r="B140" s="183" t="n">
        <v>13</v>
      </c>
      <c r="C140" s="184" t="n"/>
      <c r="D140" s="185" t="inlineStr">
        <is>
          <t>post</t>
        </is>
      </c>
      <c r="E140" s="186">
        <f>K140</f>
        <v/>
      </c>
      <c r="F140" s="477">
        <f>CEILING(L140*$M$7,$M$8)</f>
        <v/>
      </c>
      <c r="G140" s="477">
        <f>ROUND(E140*F140,0)</f>
        <v/>
      </c>
      <c r="H140" s="194" t="n"/>
      <c r="I140" s="212" t="inlineStr">
        <is>
          <t>Sanitair</t>
        </is>
      </c>
      <c r="J140" s="194" t="n"/>
      <c r="K140" s="478" t="n">
        <v>0</v>
      </c>
      <c r="L140" s="481" t="n">
        <v>0</v>
      </c>
      <c r="M140" s="480">
        <f>K140*L140</f>
        <v/>
      </c>
    </row>
    <row r="141" hidden="1" outlineLevel="2">
      <c r="A141" s="182" t="n"/>
      <c r="B141" s="183" t="n">
        <v>14</v>
      </c>
      <c r="C141" s="184" t="n"/>
      <c r="D141" s="185" t="inlineStr">
        <is>
          <t>post</t>
        </is>
      </c>
      <c r="E141" s="186">
        <f>K141</f>
        <v/>
      </c>
      <c r="F141" s="477">
        <f>CEILING(L141*$M$7,$M$8)</f>
        <v/>
      </c>
      <c r="G141" s="477">
        <f>ROUND(E141*F141,0)</f>
        <v/>
      </c>
      <c r="H141" s="194" t="n"/>
      <c r="I141" s="212" t="inlineStr">
        <is>
          <t>Sanitair</t>
        </is>
      </c>
      <c r="J141" s="194" t="n"/>
      <c r="K141" s="478" t="n">
        <v>0</v>
      </c>
      <c r="L141" s="481" t="n">
        <v>0</v>
      </c>
      <c r="M141" s="480">
        <f>K141*L141</f>
        <v/>
      </c>
    </row>
    <row r="142" hidden="1" outlineLevel="2">
      <c r="A142" s="182" t="n"/>
      <c r="B142" s="183" t="n">
        <v>15</v>
      </c>
      <c r="C142" s="184" t="n"/>
      <c r="D142" s="185" t="inlineStr">
        <is>
          <t>post</t>
        </is>
      </c>
      <c r="E142" s="186">
        <f>K142</f>
        <v/>
      </c>
      <c r="F142" s="477">
        <f>CEILING(L142*$M$7,$M$8)</f>
        <v/>
      </c>
      <c r="G142" s="477">
        <f>ROUND(E142*F142,0)</f>
        <v/>
      </c>
      <c r="H142" s="194" t="n"/>
      <c r="I142" s="212" t="inlineStr">
        <is>
          <t>Sanitair</t>
        </is>
      </c>
      <c r="J142" s="194" t="n"/>
      <c r="K142" s="478" t="n">
        <v>0</v>
      </c>
      <c r="L142" s="481" t="n">
        <v>0</v>
      </c>
      <c r="M142" s="480">
        <f>K142*L142</f>
        <v/>
      </c>
    </row>
    <row r="143" hidden="1" outlineLevel="2">
      <c r="A143" s="182" t="n"/>
      <c r="B143" s="183" t="n">
        <v>16</v>
      </c>
      <c r="C143" s="184" t="n"/>
      <c r="D143" s="185" t="inlineStr">
        <is>
          <t>post</t>
        </is>
      </c>
      <c r="E143" s="186">
        <f>K143</f>
        <v/>
      </c>
      <c r="F143" s="477">
        <f>CEILING(L143*$M$7,$M$8)</f>
        <v/>
      </c>
      <c r="G143" s="477">
        <f>ROUND(E143*F143,0)</f>
        <v/>
      </c>
      <c r="H143" s="194" t="n"/>
      <c r="I143" s="212" t="inlineStr">
        <is>
          <t>Sanitair</t>
        </is>
      </c>
      <c r="J143" s="194" t="n"/>
      <c r="K143" s="478" t="n">
        <v>0</v>
      </c>
      <c r="L143" s="481" t="n">
        <v>0</v>
      </c>
      <c r="M143" s="480">
        <f>K143*L143</f>
        <v/>
      </c>
    </row>
    <row r="144" hidden="1" outlineLevel="2">
      <c r="A144" s="182" t="n"/>
      <c r="B144" s="183" t="n">
        <v>17</v>
      </c>
      <c r="C144" s="184" t="n"/>
      <c r="D144" s="185" t="inlineStr">
        <is>
          <t>post</t>
        </is>
      </c>
      <c r="E144" s="186">
        <f>K144</f>
        <v/>
      </c>
      <c r="F144" s="477">
        <f>CEILING(L144*$M$7,$M$8)</f>
        <v/>
      </c>
      <c r="G144" s="477">
        <f>ROUND(E144*F144,0)</f>
        <v/>
      </c>
      <c r="H144" s="194" t="n"/>
      <c r="I144" s="212" t="inlineStr">
        <is>
          <t>Sanitair</t>
        </is>
      </c>
      <c r="J144" s="194" t="n"/>
      <c r="K144" s="478" t="n">
        <v>0</v>
      </c>
      <c r="L144" s="481" t="n">
        <v>0</v>
      </c>
      <c r="M144" s="480">
        <f>K144*L144</f>
        <v/>
      </c>
    </row>
    <row r="145" hidden="1" outlineLevel="2">
      <c r="A145" s="182" t="n"/>
      <c r="B145" s="215" t="n"/>
      <c r="C145" s="206" t="n"/>
      <c r="D145" s="185" t="n"/>
      <c r="E145" s="486" t="n"/>
      <c r="F145" s="490" t="n"/>
      <c r="G145" s="491">
        <f>SUM(G128:G138)</f>
        <v/>
      </c>
      <c r="H145" s="214" t="n"/>
      <c r="I145" s="212" t="n"/>
      <c r="J145" s="214" t="n"/>
      <c r="K145" s="478" t="n"/>
      <c r="L145" s="492" t="n"/>
      <c r="M145" s="489">
        <f>SUM(M128:M138)</f>
        <v/>
      </c>
    </row>
    <row r="146" hidden="1" outlineLevel="2">
      <c r="A146" s="182" t="n"/>
      <c r="B146" s="405" t="n">
        <v>142</v>
      </c>
      <c r="C146" s="283" t="inlineStr">
        <is>
          <t>Shower</t>
        </is>
      </c>
      <c r="D146" s="283" t="n"/>
      <c r="E146" s="284" t="n"/>
      <c r="F146" s="284" t="n"/>
      <c r="G146" s="284" t="n"/>
      <c r="H146" s="285" t="n"/>
      <c r="I146" s="283" t="n"/>
      <c r="J146" s="285" t="n"/>
      <c r="K146" s="204" t="n"/>
      <c r="L146" s="204" t="n"/>
      <c r="M146" s="204" t="n"/>
    </row>
    <row r="147" hidden="1" outlineLevel="2">
      <c r="A147" s="182" t="n"/>
      <c r="B147" s="205" t="n">
        <v>1</v>
      </c>
      <c r="C147" s="184" t="inlineStr">
        <is>
          <t>Floor finish (including sanitary skirting board). [Describe]</t>
        </is>
      </c>
      <c r="D147" s="185" t="inlineStr">
        <is>
          <t>post</t>
        </is>
      </c>
      <c r="E147" s="186">
        <f>K147</f>
        <v/>
      </c>
      <c r="F147" s="490">
        <f>CEILING(L147*$M$7,$M$8)</f>
        <v/>
      </c>
      <c r="G147" s="490">
        <f>ROUND(E147*F147,0)</f>
        <v/>
      </c>
      <c r="H147" s="214" t="n"/>
      <c r="I147" s="212" t="inlineStr">
        <is>
          <t>Sanitair</t>
        </is>
      </c>
      <c r="J147" s="214" t="n"/>
      <c r="K147" s="478" t="n">
        <v>0</v>
      </c>
      <c r="L147" s="481" t="n">
        <v>0</v>
      </c>
      <c r="M147" s="480">
        <f>K147*L147</f>
        <v/>
      </c>
    </row>
    <row r="148" hidden="1" outlineLevel="2">
      <c r="A148" s="182" t="n"/>
      <c r="B148" s="205" t="n">
        <v>2</v>
      </c>
      <c r="C148" s="184" t="inlineStr">
        <is>
          <t>Wall finish …. [Describe]</t>
        </is>
      </c>
      <c r="D148" s="185" t="inlineStr">
        <is>
          <t>post</t>
        </is>
      </c>
      <c r="E148" s="186">
        <f>K148</f>
        <v/>
      </c>
      <c r="F148" s="490">
        <f>CEILING(L148*$M$7,$M$8)</f>
        <v/>
      </c>
      <c r="G148" s="490">
        <f>ROUND(E148*F148,0)</f>
        <v/>
      </c>
      <c r="H148" s="214" t="n"/>
      <c r="I148" s="212" t="inlineStr">
        <is>
          <t>Sanitair</t>
        </is>
      </c>
      <c r="J148" s="214" t="n"/>
      <c r="K148" s="478" t="n">
        <v>0</v>
      </c>
      <c r="L148" s="481" t="n">
        <v>0</v>
      </c>
      <c r="M148" s="480">
        <f>K148*L148</f>
        <v/>
      </c>
    </row>
    <row r="149" hidden="1" outlineLevel="2">
      <c r="A149" s="182" t="n"/>
      <c r="B149" s="205" t="n">
        <v>3</v>
      </c>
      <c r="C149" s="184" t="inlineStr">
        <is>
          <t>Painting. [Describe]</t>
        </is>
      </c>
      <c r="D149" s="185" t="inlineStr">
        <is>
          <t>post</t>
        </is>
      </c>
      <c r="E149" s="186">
        <f>K149</f>
        <v/>
      </c>
      <c r="F149" s="490">
        <f>CEILING(L149*$M$7,$M$8)</f>
        <v/>
      </c>
      <c r="G149" s="490">
        <f>ROUND(E149*F149,0)</f>
        <v/>
      </c>
      <c r="H149" s="214" t="n"/>
      <c r="I149" s="212" t="inlineStr">
        <is>
          <t>Sanitair</t>
        </is>
      </c>
      <c r="J149" s="214" t="n"/>
      <c r="K149" s="478" t="n">
        <v>0</v>
      </c>
      <c r="L149" s="481" t="n">
        <v>0</v>
      </c>
      <c r="M149" s="480">
        <f>K149*L149</f>
        <v/>
      </c>
    </row>
    <row r="150" hidden="1" outlineLevel="2">
      <c r="A150" s="182" t="n"/>
      <c r="B150" s="205" t="n">
        <v>4</v>
      </c>
      <c r="C150" s="184" t="inlineStr">
        <is>
          <t>Window frames and doors (new / replaced).</t>
        </is>
      </c>
      <c r="D150" s="185" t="inlineStr">
        <is>
          <t>post</t>
        </is>
      </c>
      <c r="E150" s="186">
        <f>K150</f>
        <v/>
      </c>
      <c r="F150" s="490">
        <f>CEILING(L150*$M$7,$M$8)</f>
        <v/>
      </c>
      <c r="G150" s="490">
        <f>ROUND(E150*F150,0)</f>
        <v/>
      </c>
      <c r="H150" s="214" t="n"/>
      <c r="I150" s="212" t="inlineStr">
        <is>
          <t>Sanitair</t>
        </is>
      </c>
      <c r="J150" s="214" t="n"/>
      <c r="K150" s="478" t="n">
        <v>0</v>
      </c>
      <c r="L150" s="481" t="n">
        <v>0</v>
      </c>
      <c r="M150" s="480">
        <f>K150*L150</f>
        <v/>
      </c>
    </row>
    <row r="151" hidden="1" outlineLevel="2">
      <c r="A151" s="182" t="n"/>
      <c r="B151" s="205" t="n">
        <v>5</v>
      </c>
      <c r="C151" s="184" t="inlineStr">
        <is>
          <t>Ceiling finish. [Describe]</t>
        </is>
      </c>
      <c r="D151" s="185" t="inlineStr">
        <is>
          <t>post</t>
        </is>
      </c>
      <c r="E151" s="186">
        <f>K151</f>
        <v/>
      </c>
      <c r="F151" s="490">
        <f>CEILING(L151*$M$7,$M$8)</f>
        <v/>
      </c>
      <c r="G151" s="490">
        <f>ROUND(E151*F151,0)</f>
        <v/>
      </c>
      <c r="H151" s="214" t="n"/>
      <c r="I151" s="212" t="inlineStr">
        <is>
          <t>Sanitair</t>
        </is>
      </c>
      <c r="J151" s="214" t="n"/>
      <c r="K151" s="478" t="n">
        <v>0</v>
      </c>
      <c r="L151" s="481" t="n">
        <v>0</v>
      </c>
      <c r="M151" s="480">
        <f>K151*L151</f>
        <v/>
      </c>
    </row>
    <row r="152" hidden="1" outlineLevel="2">
      <c r="A152" s="182" t="n"/>
      <c r="B152" s="205" t="n">
        <v>6</v>
      </c>
      <c r="C152" s="184" t="inlineStr">
        <is>
          <t>Sealant work …. [Describe]</t>
        </is>
      </c>
      <c r="D152" s="185" t="inlineStr">
        <is>
          <t>post</t>
        </is>
      </c>
      <c r="E152" s="186">
        <f>K152</f>
        <v/>
      </c>
      <c r="F152" s="490">
        <f>CEILING(L152*$M$7,$M$8)</f>
        <v/>
      </c>
      <c r="G152" s="490">
        <f>ROUND(E152*F152,0)</f>
        <v/>
      </c>
      <c r="H152" s="214" t="n"/>
      <c r="I152" s="212" t="inlineStr">
        <is>
          <t>Sanitair</t>
        </is>
      </c>
      <c r="J152" s="214" t="n"/>
      <c r="K152" s="478" t="n">
        <v>0</v>
      </c>
      <c r="L152" s="481" t="n">
        <v>0</v>
      </c>
      <c r="M152" s="480">
        <f>K152*L152</f>
        <v/>
      </c>
    </row>
    <row r="153" hidden="1" outlineLevel="2">
      <c r="A153" s="182" t="n"/>
      <c r="B153" s="205" t="n">
        <v>7</v>
      </c>
      <c r="C153" s="184" t="inlineStr">
        <is>
          <t>Modifications to electrical installation &amp; replacement of light fittings. [Describe]</t>
        </is>
      </c>
      <c r="D153" s="185" t="inlineStr">
        <is>
          <t>post</t>
        </is>
      </c>
      <c r="E153" s="186">
        <f>K153</f>
        <v/>
      </c>
      <c r="F153" s="490">
        <f>CEILING(L153*$M$7,$M$8)</f>
        <v/>
      </c>
      <c r="G153" s="490">
        <f>ROUND(E153*F153,0)</f>
        <v/>
      </c>
      <c r="H153" s="214" t="n"/>
      <c r="I153" s="212" t="inlineStr">
        <is>
          <t>Sanitair</t>
        </is>
      </c>
      <c r="J153" s="214" t="n"/>
      <c r="K153" s="478" t="n">
        <v>0</v>
      </c>
      <c r="L153" s="481" t="n">
        <v>0</v>
      </c>
      <c r="M153" s="480">
        <f>K153*L153</f>
        <v/>
      </c>
    </row>
    <row r="154" hidden="1" outlineLevel="2">
      <c r="A154" s="182" t="n"/>
      <c r="B154" s="205" t="n">
        <v>8</v>
      </c>
      <c r="C154" s="184" t="inlineStr">
        <is>
          <t>Shower tray, shower screen, thermostatic shower mixer. [Describe]</t>
        </is>
      </c>
      <c r="D154" s="185" t="inlineStr">
        <is>
          <t>post</t>
        </is>
      </c>
      <c r="E154" s="186">
        <f>K154</f>
        <v/>
      </c>
      <c r="F154" s="490">
        <f>CEILING(L154*$M$7,$M$8)</f>
        <v/>
      </c>
      <c r="G154" s="490">
        <f>ROUND(E154*F154,0)</f>
        <v/>
      </c>
      <c r="H154" s="214" t="n"/>
      <c r="I154" s="212" t="inlineStr">
        <is>
          <t>Sanitair</t>
        </is>
      </c>
      <c r="J154" s="214" t="n"/>
      <c r="K154" s="478" t="n">
        <v>0</v>
      </c>
      <c r="L154" s="481" t="n">
        <v>0</v>
      </c>
      <c r="M154" s="480">
        <f>K154*L154</f>
        <v/>
      </c>
    </row>
    <row r="155" hidden="1" outlineLevel="2">
      <c r="A155" s="182" t="n"/>
      <c r="B155" s="205" t="n">
        <v>9</v>
      </c>
      <c r="C155" s="184" t="inlineStr">
        <is>
          <t>Washbasin (incl. taps etc.). [Describe]</t>
        </is>
      </c>
      <c r="D155" s="185" t="inlineStr">
        <is>
          <t>post</t>
        </is>
      </c>
      <c r="E155" s="186">
        <f>K155</f>
        <v/>
      </c>
      <c r="F155" s="490">
        <f>CEILING(L155*$M$7,$M$8)</f>
        <v/>
      </c>
      <c r="G155" s="490">
        <f>ROUND(E155*F155,0)</f>
        <v/>
      </c>
      <c r="H155" s="214" t="n"/>
      <c r="I155" s="212" t="inlineStr">
        <is>
          <t>Sanitair</t>
        </is>
      </c>
      <c r="J155" s="214" t="n"/>
      <c r="K155" s="478" t="n">
        <v>0</v>
      </c>
      <c r="L155" s="481" t="n">
        <v>0</v>
      </c>
      <c r="M155" s="480">
        <f>K155*L155</f>
        <v/>
      </c>
    </row>
    <row r="156" hidden="1" outlineLevel="2">
      <c r="A156" s="182" t="n"/>
      <c r="B156" s="205" t="n">
        <v>10</v>
      </c>
      <c r="C156" s="184" t="inlineStr">
        <is>
          <t>Plumbing work (including boiler). [Describe]</t>
        </is>
      </c>
      <c r="D156" s="185" t="inlineStr">
        <is>
          <t>post</t>
        </is>
      </c>
      <c r="E156" s="186">
        <f>K156</f>
        <v/>
      </c>
      <c r="F156" s="490">
        <f>CEILING(L156*$M$7,$M$8)</f>
        <v/>
      </c>
      <c r="G156" s="490">
        <f>ROUND(E156*F156,0)</f>
        <v/>
      </c>
      <c r="H156" s="214" t="n"/>
      <c r="I156" s="212" t="inlineStr">
        <is>
          <t>Sanitair</t>
        </is>
      </c>
      <c r="J156" s="214" t="n"/>
      <c r="K156" s="478" t="n">
        <v>0</v>
      </c>
      <c r="L156" s="481" t="n">
        <v>0</v>
      </c>
      <c r="M156" s="480">
        <f>K156*L156</f>
        <v/>
      </c>
    </row>
    <row r="157" hidden="1" outlineLevel="2">
      <c r="A157" s="182" t="n"/>
      <c r="B157" s="205" t="n">
        <v>11</v>
      </c>
      <c r="C157" s="184" t="inlineStr">
        <is>
          <t>Sanitary fittings such as mirror/accessories. [Describe]</t>
        </is>
      </c>
      <c r="D157" s="185" t="inlineStr">
        <is>
          <t>post</t>
        </is>
      </c>
      <c r="E157" s="186">
        <f>K157</f>
        <v/>
      </c>
      <c r="F157" s="490">
        <f>CEILING(L157*$M$7,$M$8)</f>
        <v/>
      </c>
      <c r="G157" s="490">
        <f>ROUND(E157*F157,0)</f>
        <v/>
      </c>
      <c r="H157" s="214" t="n"/>
      <c r="I157" s="212" t="inlineStr">
        <is>
          <t>Sanitair</t>
        </is>
      </c>
      <c r="J157" s="214" t="n"/>
      <c r="K157" s="478" t="n">
        <v>0</v>
      </c>
      <c r="L157" s="481" t="n">
        <v>0</v>
      </c>
      <c r="M157" s="480">
        <f>K157*L157</f>
        <v/>
      </c>
    </row>
    <row r="158" hidden="1" outlineLevel="2">
      <c r="A158" s="182" t="n"/>
      <c r="B158" s="205" t="n">
        <v>12</v>
      </c>
      <c r="C158" s="184" t="inlineStr">
        <is>
          <t>Extractor fan (incl. grille).</t>
        </is>
      </c>
      <c r="D158" s="185" t="inlineStr">
        <is>
          <t>post</t>
        </is>
      </c>
      <c r="E158" s="186">
        <f>K158</f>
        <v/>
      </c>
      <c r="F158" s="490">
        <f>CEILING(L158*$M$7,$M$8)</f>
        <v/>
      </c>
      <c r="G158" s="490">
        <f>ROUND(E158*F158,0)</f>
        <v/>
      </c>
      <c r="H158" s="214" t="n"/>
      <c r="I158" s="212" t="inlineStr">
        <is>
          <t>Sanitair</t>
        </is>
      </c>
      <c r="J158" s="214" t="n"/>
      <c r="K158" s="478" t="n">
        <v>0</v>
      </c>
      <c r="L158" s="481" t="n">
        <v>0</v>
      </c>
      <c r="M158" s="480">
        <f>K158*L158</f>
        <v/>
      </c>
    </row>
    <row r="159" hidden="1" outlineLevel="2">
      <c r="A159" s="182" t="n"/>
      <c r="B159" s="183" t="n">
        <v>12</v>
      </c>
      <c r="C159" s="184" t="n"/>
      <c r="D159" s="185" t="inlineStr">
        <is>
          <t>post</t>
        </is>
      </c>
      <c r="E159" s="186">
        <f>K159</f>
        <v/>
      </c>
      <c r="F159" s="477">
        <f>CEILING(L159*$M$7,$M$8)</f>
        <v/>
      </c>
      <c r="G159" s="477">
        <f>ROUND(E159*F159,0)</f>
        <v/>
      </c>
      <c r="H159" s="194" t="n"/>
      <c r="I159" s="212" t="inlineStr">
        <is>
          <t>Sanitair</t>
        </is>
      </c>
      <c r="J159" s="194" t="n"/>
      <c r="K159" s="478" t="n">
        <v>0</v>
      </c>
      <c r="L159" s="481" t="n">
        <v>0</v>
      </c>
      <c r="M159" s="480">
        <f>K159*L159</f>
        <v/>
      </c>
    </row>
    <row r="160" hidden="1" outlineLevel="2">
      <c r="A160" s="182" t="n"/>
      <c r="B160" s="183" t="n">
        <v>13</v>
      </c>
      <c r="C160" s="184" t="n"/>
      <c r="D160" s="185" t="inlineStr">
        <is>
          <t>post</t>
        </is>
      </c>
      <c r="E160" s="186">
        <f>K160</f>
        <v/>
      </c>
      <c r="F160" s="477">
        <f>CEILING(L160*$M$7,$M$8)</f>
        <v/>
      </c>
      <c r="G160" s="477">
        <f>ROUND(E160*F160,0)</f>
        <v/>
      </c>
      <c r="H160" s="194" t="n"/>
      <c r="I160" s="212" t="inlineStr">
        <is>
          <t>Sanitair</t>
        </is>
      </c>
      <c r="J160" s="194" t="n"/>
      <c r="K160" s="478" t="n">
        <v>0</v>
      </c>
      <c r="L160" s="481" t="n">
        <v>0</v>
      </c>
      <c r="M160" s="480">
        <f>K160*L160</f>
        <v/>
      </c>
    </row>
    <row r="161" hidden="1" outlineLevel="2">
      <c r="A161" s="182" t="n"/>
      <c r="B161" s="183" t="n">
        <v>14</v>
      </c>
      <c r="C161" s="184" t="n"/>
      <c r="D161" s="185" t="inlineStr">
        <is>
          <t>post</t>
        </is>
      </c>
      <c r="E161" s="186">
        <f>K161</f>
        <v/>
      </c>
      <c r="F161" s="477">
        <f>CEILING(L161*$M$7,$M$8)</f>
        <v/>
      </c>
      <c r="G161" s="477">
        <f>ROUND(E161*F161,0)</f>
        <v/>
      </c>
      <c r="H161" s="194" t="n"/>
      <c r="I161" s="212" t="inlineStr">
        <is>
          <t>Sanitair</t>
        </is>
      </c>
      <c r="J161" s="194" t="n"/>
      <c r="K161" s="478" t="n">
        <v>0</v>
      </c>
      <c r="L161" s="481" t="n">
        <v>0</v>
      </c>
      <c r="M161" s="480">
        <f>K161*L161</f>
        <v/>
      </c>
    </row>
    <row r="162" hidden="1" outlineLevel="2">
      <c r="A162" s="182" t="n"/>
      <c r="B162" s="183" t="n">
        <v>15</v>
      </c>
      <c r="C162" s="184" t="n"/>
      <c r="D162" s="185" t="inlineStr">
        <is>
          <t>post</t>
        </is>
      </c>
      <c r="E162" s="186">
        <f>K162</f>
        <v/>
      </c>
      <c r="F162" s="477">
        <f>CEILING(L162*$M$7,$M$8)</f>
        <v/>
      </c>
      <c r="G162" s="477">
        <f>ROUND(E162*F162,0)</f>
        <v/>
      </c>
      <c r="H162" s="194" t="n"/>
      <c r="I162" s="212" t="inlineStr">
        <is>
          <t>Sanitair</t>
        </is>
      </c>
      <c r="J162" s="194" t="n"/>
      <c r="K162" s="478" t="n">
        <v>0</v>
      </c>
      <c r="L162" s="481" t="n">
        <v>0</v>
      </c>
      <c r="M162" s="480">
        <f>K162*L162</f>
        <v/>
      </c>
    </row>
    <row r="163" hidden="1" outlineLevel="2">
      <c r="A163" s="182" t="n"/>
      <c r="B163" s="183" t="n">
        <v>16</v>
      </c>
      <c r="C163" s="184" t="n"/>
      <c r="D163" s="185" t="inlineStr">
        <is>
          <t>post</t>
        </is>
      </c>
      <c r="E163" s="186">
        <f>K163</f>
        <v/>
      </c>
      <c r="F163" s="477">
        <f>CEILING(L163*$M$7,$M$8)</f>
        <v/>
      </c>
      <c r="G163" s="477">
        <f>ROUND(E163*F163,0)</f>
        <v/>
      </c>
      <c r="H163" s="194" t="n"/>
      <c r="I163" s="212" t="inlineStr">
        <is>
          <t>Sanitair</t>
        </is>
      </c>
      <c r="J163" s="194" t="n"/>
      <c r="K163" s="478" t="n">
        <v>0</v>
      </c>
      <c r="L163" s="481" t="n">
        <v>0</v>
      </c>
      <c r="M163" s="480">
        <f>K163*L163</f>
        <v/>
      </c>
    </row>
    <row r="164" hidden="1" outlineLevel="2">
      <c r="A164" s="182" t="n"/>
      <c r="B164" s="183" t="n">
        <v>17</v>
      </c>
      <c r="C164" s="184" t="n"/>
      <c r="D164" s="185" t="inlineStr">
        <is>
          <t>post</t>
        </is>
      </c>
      <c r="E164" s="186">
        <f>K164</f>
        <v/>
      </c>
      <c r="F164" s="477">
        <f>CEILING(L164*$M$7,$M$8)</f>
        <v/>
      </c>
      <c r="G164" s="477">
        <f>ROUND(E164*F164,0)</f>
        <v/>
      </c>
      <c r="H164" s="194" t="n"/>
      <c r="I164" s="212" t="inlineStr">
        <is>
          <t>Sanitair</t>
        </is>
      </c>
      <c r="J164" s="194" t="n"/>
      <c r="K164" s="478" t="n">
        <v>0</v>
      </c>
      <c r="L164" s="481" t="n">
        <v>0</v>
      </c>
      <c r="M164" s="480">
        <f>K164*L164</f>
        <v/>
      </c>
    </row>
    <row r="165" hidden="1" outlineLevel="2">
      <c r="A165" s="182" t="n"/>
      <c r="B165" s="215" t="n"/>
      <c r="C165" s="206" t="n"/>
      <c r="D165" s="185" t="n"/>
      <c r="E165" s="486" t="n"/>
      <c r="F165" s="490" t="n"/>
      <c r="G165" s="491">
        <f>SUM(G147:G158)</f>
        <v/>
      </c>
      <c r="H165" s="214" t="n"/>
      <c r="I165" s="212" t="n"/>
      <c r="J165" s="214" t="n"/>
      <c r="K165" s="478" t="n"/>
      <c r="L165" s="492" t="n"/>
      <c r="M165" s="489">
        <f>SUM(M147:M158)</f>
        <v/>
      </c>
    </row>
    <row r="166" hidden="1" outlineLevel="2">
      <c r="A166" s="182" t="n"/>
      <c r="B166" s="405" t="n">
        <v>143</v>
      </c>
      <c r="C166" s="283" t="inlineStr">
        <is>
          <t>Utility cupboard/first aid/emergency response/breastfeeding room</t>
        </is>
      </c>
      <c r="D166" s="283" t="n"/>
      <c r="E166" s="284" t="n"/>
      <c r="F166" s="284" t="n"/>
      <c r="G166" s="284" t="n"/>
      <c r="H166" s="285" t="n"/>
      <c r="I166" s="283" t="n"/>
      <c r="J166" s="285" t="n"/>
      <c r="K166" s="204" t="n"/>
      <c r="L166" s="204" t="n"/>
      <c r="M166" s="204" t="n"/>
    </row>
    <row r="167" hidden="1" outlineLevel="2">
      <c r="A167" s="182" t="n"/>
      <c r="B167" s="205" t="n">
        <v>1</v>
      </c>
      <c r="C167" s="184" t="inlineStr">
        <is>
          <t>Floor finish (including sanitary skirting). [Describe]</t>
        </is>
      </c>
      <c r="D167" s="185" t="inlineStr">
        <is>
          <t>post</t>
        </is>
      </c>
      <c r="E167" s="186">
        <f>K167</f>
        <v/>
      </c>
      <c r="F167" s="490">
        <f>CEILING(L167*$M$7,$M$8)</f>
        <v/>
      </c>
      <c r="G167" s="490">
        <f>ROUND(E167*F167,0)</f>
        <v/>
      </c>
      <c r="H167" s="214" t="n"/>
      <c r="I167" s="212" t="inlineStr">
        <is>
          <t>Sanitair</t>
        </is>
      </c>
      <c r="J167" s="214" t="n"/>
      <c r="K167" s="478" t="n">
        <v>0</v>
      </c>
      <c r="L167" s="481" t="n">
        <v>0</v>
      </c>
      <c r="M167" s="480">
        <f>K167*L167</f>
        <v/>
      </c>
    </row>
    <row r="168" hidden="1" outlineLevel="2">
      <c r="A168" s="182" t="n"/>
      <c r="B168" s="205" t="n">
        <v>2</v>
      </c>
      <c r="C168" s="184" t="inlineStr">
        <is>
          <t>Wall finish. [Describe]</t>
        </is>
      </c>
      <c r="D168" s="185" t="inlineStr">
        <is>
          <t>post</t>
        </is>
      </c>
      <c r="E168" s="186">
        <f>K168</f>
        <v/>
      </c>
      <c r="F168" s="490">
        <f>CEILING(L168*$M$7,$M$8)</f>
        <v/>
      </c>
      <c r="G168" s="490">
        <f>ROUND(E168*F168,0)</f>
        <v/>
      </c>
      <c r="H168" s="214" t="n"/>
      <c r="I168" s="212" t="inlineStr">
        <is>
          <t>Sanitair</t>
        </is>
      </c>
      <c r="J168" s="214" t="n"/>
      <c r="K168" s="478" t="n">
        <v>0</v>
      </c>
      <c r="L168" s="481" t="n">
        <v>0</v>
      </c>
      <c r="M168" s="480">
        <f>K168*L168</f>
        <v/>
      </c>
    </row>
    <row r="169" hidden="1" outlineLevel="2">
      <c r="A169" s="182" t="n"/>
      <c r="B169" s="205" t="n">
        <v>3</v>
      </c>
      <c r="C169" s="184" t="inlineStr">
        <is>
          <t>Paintwork. [Describe]</t>
        </is>
      </c>
      <c r="D169" s="185" t="inlineStr">
        <is>
          <t>post</t>
        </is>
      </c>
      <c r="E169" s="186">
        <f>K169</f>
        <v/>
      </c>
      <c r="F169" s="490">
        <f>CEILING(L169*$M$7,$M$8)</f>
        <v/>
      </c>
      <c r="G169" s="490">
        <f>ROUND(E169*F169,0)</f>
        <v/>
      </c>
      <c r="H169" s="214" t="n"/>
      <c r="I169" s="212" t="inlineStr">
        <is>
          <t>Sanitair</t>
        </is>
      </c>
      <c r="J169" s="214" t="n"/>
      <c r="K169" s="478" t="n">
        <v>0</v>
      </c>
      <c r="L169" s="481" t="n">
        <v>0</v>
      </c>
      <c r="M169" s="480">
        <f>K169*L169</f>
        <v/>
      </c>
    </row>
    <row r="170" hidden="1" outlineLevel="2">
      <c r="A170" s="182" t="n"/>
      <c r="B170" s="205" t="n">
        <v>4</v>
      </c>
      <c r="C170" s="184" t="inlineStr">
        <is>
          <t>Window frames and doors (new / replaced).</t>
        </is>
      </c>
      <c r="D170" s="185" t="inlineStr">
        <is>
          <t>post</t>
        </is>
      </c>
      <c r="E170" s="186">
        <f>K170</f>
        <v/>
      </c>
      <c r="F170" s="490">
        <f>CEILING(L170*$M$7,$M$8)</f>
        <v/>
      </c>
      <c r="G170" s="490">
        <f>ROUND(E170*F170,0)</f>
        <v/>
      </c>
      <c r="H170" s="214" t="n"/>
      <c r="I170" s="212" t="inlineStr">
        <is>
          <t>Sanitair</t>
        </is>
      </c>
      <c r="J170" s="214" t="n"/>
      <c r="K170" s="478" t="n">
        <v>0</v>
      </c>
      <c r="L170" s="481" t="n">
        <v>0</v>
      </c>
      <c r="M170" s="480">
        <f>K170*L170</f>
        <v/>
      </c>
    </row>
    <row r="171" hidden="1" outlineLevel="2">
      <c r="A171" s="182" t="n"/>
      <c r="B171" s="205" t="n">
        <v>5</v>
      </c>
      <c r="C171" s="184" t="inlineStr">
        <is>
          <t>Ceiling finish. [Describe]</t>
        </is>
      </c>
      <c r="D171" s="185" t="inlineStr">
        <is>
          <t>post</t>
        </is>
      </c>
      <c r="E171" s="186">
        <f>K171</f>
        <v/>
      </c>
      <c r="F171" s="490">
        <f>CEILING(L171*$M$7,$M$8)</f>
        <v/>
      </c>
      <c r="G171" s="490">
        <f>ROUND(E171*F171,0)</f>
        <v/>
      </c>
      <c r="H171" s="214" t="n"/>
      <c r="I171" s="212" t="inlineStr">
        <is>
          <t>Sanitair</t>
        </is>
      </c>
      <c r="J171" s="214" t="n"/>
      <c r="K171" s="478" t="n">
        <v>0</v>
      </c>
      <c r="L171" s="481" t="n">
        <v>0</v>
      </c>
      <c r="M171" s="480">
        <f>K171*L171</f>
        <v/>
      </c>
    </row>
    <row r="172" hidden="1" outlineLevel="2">
      <c r="A172" s="182" t="n"/>
      <c r="B172" s="205" t="n">
        <v>6</v>
      </c>
      <c r="C172" s="184" t="inlineStr">
        <is>
          <t>Sealing work. [Describe]</t>
        </is>
      </c>
      <c r="D172" s="185" t="inlineStr">
        <is>
          <t>post</t>
        </is>
      </c>
      <c r="E172" s="186">
        <f>K172</f>
        <v/>
      </c>
      <c r="F172" s="490">
        <f>CEILING(L172*$M$7,$M$8)</f>
        <v/>
      </c>
      <c r="G172" s="490">
        <f>ROUND(E172*F172,0)</f>
        <v/>
      </c>
      <c r="H172" s="214" t="n"/>
      <c r="I172" s="212" t="inlineStr">
        <is>
          <t>Sanitair</t>
        </is>
      </c>
      <c r="J172" s="214" t="n"/>
      <c r="K172" s="478" t="n">
        <v>0</v>
      </c>
      <c r="L172" s="481" t="n">
        <v>0</v>
      </c>
      <c r="M172" s="480">
        <f>K172*L172</f>
        <v/>
      </c>
    </row>
    <row r="173" hidden="1" outlineLevel="2">
      <c r="A173" s="182" t="n"/>
      <c r="B173" s="205" t="n">
        <v>7</v>
      </c>
      <c r="C173" s="184" t="inlineStr">
        <is>
          <t>Lighting fittings. [Describe]</t>
        </is>
      </c>
      <c r="D173" s="185" t="inlineStr">
        <is>
          <t>post</t>
        </is>
      </c>
      <c r="E173" s="186">
        <f>K173</f>
        <v/>
      </c>
      <c r="F173" s="490">
        <f>CEILING(L173*$M$7,$M$8)</f>
        <v/>
      </c>
      <c r="G173" s="490">
        <f>ROUND(E173*F173,0)</f>
        <v/>
      </c>
      <c r="H173" s="214" t="n"/>
      <c r="I173" s="212" t="inlineStr">
        <is>
          <t>Sanitair</t>
        </is>
      </c>
      <c r="J173" s="214" t="n"/>
      <c r="K173" s="478" t="n">
        <v>0</v>
      </c>
      <c r="L173" s="481" t="n">
        <v>0</v>
      </c>
      <c r="M173" s="480">
        <f>K173*L173</f>
        <v/>
      </c>
    </row>
    <row r="174" hidden="1" outlineLevel="2">
      <c r="A174" s="182" t="n"/>
      <c r="B174" s="205" t="n">
        <v>8</v>
      </c>
      <c r="C174" s="184" t="inlineStr">
        <is>
          <t>Cistern / washbasin  (including mixer tap and drain). [Describe]</t>
        </is>
      </c>
      <c r="D174" s="185" t="inlineStr">
        <is>
          <t>post</t>
        </is>
      </c>
      <c r="E174" s="186">
        <f>K174</f>
        <v/>
      </c>
      <c r="F174" s="490">
        <f>CEILING(L174*$M$7,$M$8)</f>
        <v/>
      </c>
      <c r="G174" s="490">
        <f>ROUND(E174*F174,0)</f>
        <v/>
      </c>
      <c r="H174" s="214" t="n"/>
      <c r="I174" s="212" t="inlineStr">
        <is>
          <t>Sanitair</t>
        </is>
      </c>
      <c r="J174" s="214" t="n"/>
      <c r="K174" s="478" t="n">
        <v>0</v>
      </c>
      <c r="L174" s="481" t="n">
        <v>0</v>
      </c>
      <c r="M174" s="480">
        <f>K174*L174</f>
        <v/>
      </c>
    </row>
    <row r="175" hidden="1" outlineLevel="2">
      <c r="A175" s="182" t="n"/>
      <c r="B175" s="205" t="n">
        <v>9</v>
      </c>
      <c r="C175" s="184" t="inlineStr">
        <is>
          <t>Plumbing work (including boiler). [Describe]</t>
        </is>
      </c>
      <c r="D175" s="185" t="inlineStr">
        <is>
          <t>post</t>
        </is>
      </c>
      <c r="E175" s="186">
        <f>K175</f>
        <v/>
      </c>
      <c r="F175" s="490">
        <f>CEILING(L175*$M$7,$M$8)</f>
        <v/>
      </c>
      <c r="G175" s="490">
        <f>ROUND(E175*F175,0)</f>
        <v/>
      </c>
      <c r="H175" s="214" t="n"/>
      <c r="I175" s="212" t="inlineStr">
        <is>
          <t>Sanitair</t>
        </is>
      </c>
      <c r="J175" s="214" t="n"/>
      <c r="K175" s="478" t="n">
        <v>0</v>
      </c>
      <c r="L175" s="481" t="n">
        <v>0</v>
      </c>
      <c r="M175" s="480">
        <f>K175*L175</f>
        <v/>
      </c>
    </row>
    <row r="176" hidden="1" outlineLevel="2">
      <c r="A176" s="182" t="n"/>
      <c r="B176" s="205" t="n">
        <v>10</v>
      </c>
      <c r="C176" s="184" t="inlineStr">
        <is>
          <t>Sanitary fittings such as mirror/accessories. [Describe]</t>
        </is>
      </c>
      <c r="D176" s="185" t="inlineStr">
        <is>
          <t>post</t>
        </is>
      </c>
      <c r="E176" s="186">
        <f>K176</f>
        <v/>
      </c>
      <c r="F176" s="490">
        <f>CEILING(L176*$M$7,$M$8)</f>
        <v/>
      </c>
      <c r="G176" s="490">
        <f>ROUND(E176*F176,0)</f>
        <v/>
      </c>
      <c r="H176" s="214" t="n"/>
      <c r="I176" s="212" t="inlineStr">
        <is>
          <t>Sanitair</t>
        </is>
      </c>
      <c r="J176" s="214" t="n"/>
      <c r="K176" s="478" t="n">
        <v>0</v>
      </c>
      <c r="L176" s="481" t="n">
        <v>0</v>
      </c>
      <c r="M176" s="480">
        <f>K176*L176</f>
        <v/>
      </c>
    </row>
    <row r="177" hidden="1" outlineLevel="2">
      <c r="A177" s="182" t="n"/>
      <c r="B177" s="205" t="n">
        <v>11</v>
      </c>
      <c r="C177" s="184" t="inlineStr">
        <is>
          <t>Extractor fan (including grille).</t>
        </is>
      </c>
      <c r="D177" s="185" t="inlineStr">
        <is>
          <t>post</t>
        </is>
      </c>
      <c r="E177" s="186">
        <f>K177</f>
        <v/>
      </c>
      <c r="F177" s="490">
        <f>CEILING(L177*$M$7,$M$8)</f>
        <v/>
      </c>
      <c r="G177" s="490">
        <f>ROUND(E177*F177,0)</f>
        <v/>
      </c>
      <c r="H177" s="214" t="n"/>
      <c r="I177" s="212" t="inlineStr">
        <is>
          <t>Sanitair</t>
        </is>
      </c>
      <c r="J177" s="214" t="n"/>
      <c r="K177" s="478" t="n">
        <v>0</v>
      </c>
      <c r="L177" s="481" t="n">
        <v>0</v>
      </c>
      <c r="M177" s="480">
        <f>K177*L177</f>
        <v/>
      </c>
    </row>
    <row r="178" hidden="1" outlineLevel="2">
      <c r="A178" s="182" t="n"/>
      <c r="B178" s="205" t="n">
        <v>12</v>
      </c>
      <c r="C178" s="184" t="inlineStr">
        <is>
          <t>Sealing work …. [Describe]</t>
        </is>
      </c>
      <c r="D178" s="185" t="inlineStr">
        <is>
          <t>post</t>
        </is>
      </c>
      <c r="E178" s="186">
        <f>K178</f>
        <v/>
      </c>
      <c r="F178" s="490">
        <f>CEILING(L178*$M$7,$M$8)</f>
        <v/>
      </c>
      <c r="G178" s="490">
        <f>ROUND(E178*F178,0)</f>
        <v/>
      </c>
      <c r="H178" s="214" t="n"/>
      <c r="I178" s="212" t="inlineStr">
        <is>
          <t>Sanitair</t>
        </is>
      </c>
      <c r="J178" s="214" t="n"/>
      <c r="K178" s="478" t="n">
        <v>0</v>
      </c>
      <c r="L178" s="481" t="n">
        <v>0</v>
      </c>
      <c r="M178" s="480">
        <f>K178*L178</f>
        <v/>
      </c>
    </row>
    <row r="179" hidden="1" outlineLevel="2">
      <c r="A179" s="182" t="n"/>
      <c r="B179" s="183" t="n">
        <v>12</v>
      </c>
      <c r="C179" s="184" t="n"/>
      <c r="D179" s="185" t="inlineStr">
        <is>
          <t>post</t>
        </is>
      </c>
      <c r="E179" s="186">
        <f>K179</f>
        <v/>
      </c>
      <c r="F179" s="477">
        <f>CEILING(L179*$M$7,$M$8)</f>
        <v/>
      </c>
      <c r="G179" s="477">
        <f>ROUND(E179*F179,0)</f>
        <v/>
      </c>
      <c r="H179" s="194" t="n"/>
      <c r="I179" s="212" t="inlineStr">
        <is>
          <t>Sanitair</t>
        </is>
      </c>
      <c r="J179" s="194" t="n"/>
      <c r="K179" s="478" t="n">
        <v>0</v>
      </c>
      <c r="L179" s="481" t="n">
        <v>0</v>
      </c>
      <c r="M179" s="480">
        <f>K179*L179</f>
        <v/>
      </c>
    </row>
    <row r="180" hidden="1" outlineLevel="2">
      <c r="A180" s="182" t="n"/>
      <c r="B180" s="183" t="n">
        <v>13</v>
      </c>
      <c r="C180" s="184" t="n"/>
      <c r="D180" s="185" t="inlineStr">
        <is>
          <t>post</t>
        </is>
      </c>
      <c r="E180" s="186">
        <f>K180</f>
        <v/>
      </c>
      <c r="F180" s="477">
        <f>CEILING(L180*$M$7,$M$8)</f>
        <v/>
      </c>
      <c r="G180" s="477">
        <f>ROUND(E180*F180,0)</f>
        <v/>
      </c>
      <c r="H180" s="194" t="n"/>
      <c r="I180" s="212" t="inlineStr">
        <is>
          <t>Sanitair</t>
        </is>
      </c>
      <c r="J180" s="194" t="n"/>
      <c r="K180" s="478" t="n">
        <v>0</v>
      </c>
      <c r="L180" s="481" t="n">
        <v>0</v>
      </c>
      <c r="M180" s="480">
        <f>K180*L180</f>
        <v/>
      </c>
    </row>
    <row r="181" hidden="1" outlineLevel="2">
      <c r="A181" s="182" t="n"/>
      <c r="B181" s="183" t="n">
        <v>14</v>
      </c>
      <c r="C181" s="184" t="n"/>
      <c r="D181" s="185" t="inlineStr">
        <is>
          <t>post</t>
        </is>
      </c>
      <c r="E181" s="186">
        <f>K181</f>
        <v/>
      </c>
      <c r="F181" s="477">
        <f>CEILING(L181*$M$7,$M$8)</f>
        <v/>
      </c>
      <c r="G181" s="477">
        <f>ROUND(E181*F181,0)</f>
        <v/>
      </c>
      <c r="H181" s="194" t="n"/>
      <c r="I181" s="212" t="inlineStr">
        <is>
          <t>Sanitair</t>
        </is>
      </c>
      <c r="J181" s="194" t="n"/>
      <c r="K181" s="478" t="n">
        <v>0</v>
      </c>
      <c r="L181" s="481" t="n">
        <v>0</v>
      </c>
      <c r="M181" s="480">
        <f>K181*L181</f>
        <v/>
      </c>
    </row>
    <row r="182" hidden="1" outlineLevel="2">
      <c r="A182" s="182" t="n"/>
      <c r="B182" s="183" t="n">
        <v>15</v>
      </c>
      <c r="C182" s="184" t="n"/>
      <c r="D182" s="185" t="inlineStr">
        <is>
          <t>post</t>
        </is>
      </c>
      <c r="E182" s="186">
        <f>K182</f>
        <v/>
      </c>
      <c r="F182" s="477">
        <f>CEILING(L182*$M$7,$M$8)</f>
        <v/>
      </c>
      <c r="G182" s="477">
        <f>ROUND(E182*F182,0)</f>
        <v/>
      </c>
      <c r="H182" s="194" t="n"/>
      <c r="I182" s="212" t="inlineStr">
        <is>
          <t>Sanitair</t>
        </is>
      </c>
      <c r="J182" s="194" t="n"/>
      <c r="K182" s="478" t="n">
        <v>0</v>
      </c>
      <c r="L182" s="481" t="n">
        <v>0</v>
      </c>
      <c r="M182" s="480">
        <f>K182*L182</f>
        <v/>
      </c>
    </row>
    <row r="183" hidden="1" outlineLevel="2">
      <c r="A183" s="182" t="n"/>
      <c r="B183" s="183" t="n">
        <v>16</v>
      </c>
      <c r="C183" s="184" t="n"/>
      <c r="D183" s="185" t="inlineStr">
        <is>
          <t>post</t>
        </is>
      </c>
      <c r="E183" s="186">
        <f>K183</f>
        <v/>
      </c>
      <c r="F183" s="477">
        <f>CEILING(L183*$M$7,$M$8)</f>
        <v/>
      </c>
      <c r="G183" s="477">
        <f>ROUND(E183*F183,0)</f>
        <v/>
      </c>
      <c r="H183" s="194" t="n"/>
      <c r="I183" s="212" t="inlineStr">
        <is>
          <t>Sanitair</t>
        </is>
      </c>
      <c r="J183" s="194" t="n"/>
      <c r="K183" s="478" t="n">
        <v>0</v>
      </c>
      <c r="L183" s="481" t="n">
        <v>0</v>
      </c>
      <c r="M183" s="480">
        <f>K183*L183</f>
        <v/>
      </c>
    </row>
    <row r="184" hidden="1" outlineLevel="2">
      <c r="A184" s="182" t="n"/>
      <c r="B184" s="183" t="n">
        <v>17</v>
      </c>
      <c r="C184" s="184" t="n"/>
      <c r="D184" s="185" t="inlineStr">
        <is>
          <t>post</t>
        </is>
      </c>
      <c r="E184" s="186">
        <f>K184</f>
        <v/>
      </c>
      <c r="F184" s="477">
        <f>CEILING(L184*$M$7,$M$8)</f>
        <v/>
      </c>
      <c r="G184" s="477">
        <f>ROUND(E184*F184,0)</f>
        <v/>
      </c>
      <c r="H184" s="194" t="n"/>
      <c r="I184" s="212" t="inlineStr">
        <is>
          <t>Sanitair</t>
        </is>
      </c>
      <c r="J184" s="194" t="n"/>
      <c r="K184" s="478" t="n">
        <v>0</v>
      </c>
      <c r="L184" s="481" t="n">
        <v>0</v>
      </c>
      <c r="M184" s="480">
        <f>K184*L184</f>
        <v/>
      </c>
    </row>
    <row r="185" hidden="1" outlineLevel="2">
      <c r="A185" s="195" t="n"/>
      <c r="B185" s="205" t="n"/>
      <c r="C185" s="184" t="n"/>
      <c r="D185" s="185" t="n"/>
      <c r="E185" s="486" t="n"/>
      <c r="F185" s="490" t="n"/>
      <c r="G185" s="491">
        <f>SUM(G167:G178)</f>
        <v/>
      </c>
      <c r="H185" s="211" t="n"/>
      <c r="I185" s="212" t="n"/>
      <c r="J185" s="211" t="n"/>
      <c r="K185" s="478" t="n"/>
      <c r="L185" s="493" t="n"/>
      <c r="M185" s="489">
        <f>SUM(M167:M178)</f>
        <v/>
      </c>
    </row>
    <row r="186" hidden="1" outlineLevel="1">
      <c r="E186" s="38" t="n"/>
      <c r="F186" s="38" t="n"/>
      <c r="G186" s="482" t="n"/>
      <c r="K186" s="483" t="n"/>
      <c r="M186" s="484" t="n"/>
    </row>
    <row r="187">
      <c r="E187" s="38" t="n"/>
      <c r="F187" s="38" t="n"/>
      <c r="G187" s="38" t="n"/>
      <c r="K187" s="483" t="n"/>
    </row>
    <row r="188">
      <c r="A188" s="176" t="n">
        <v>200</v>
      </c>
      <c r="B188" s="101" t="inlineStr">
        <is>
          <t>INSTALLATION WORK</t>
        </is>
      </c>
      <c r="C188" s="102" t="n"/>
      <c r="D188" s="102" t="n"/>
      <c r="E188" s="102" t="n"/>
      <c r="F188" s="102" t="n"/>
      <c r="G188" s="102" t="n"/>
      <c r="H188" s="277" t="n"/>
      <c r="I188" s="278" t="n"/>
      <c r="J188" s="277" t="n"/>
      <c r="K188" s="494" t="n"/>
      <c r="L188" s="177" t="n"/>
      <c r="M188" s="178" t="n"/>
    </row>
    <row r="189" ht="4.35" customHeight="1">
      <c r="E189" s="38" t="n"/>
      <c r="F189" s="38" t="n"/>
      <c r="G189" s="38" t="n"/>
      <c r="K189" s="483" t="n"/>
    </row>
    <row r="190" outlineLevel="2">
      <c r="A190" s="179" t="n">
        <v>210</v>
      </c>
      <c r="B190" s="279" t="inlineStr">
        <is>
          <t>HVAC INSTALLATION</t>
        </is>
      </c>
      <c r="C190" s="280" t="n"/>
      <c r="D190" s="280" t="n"/>
      <c r="E190" s="280" t="n"/>
      <c r="F190" s="280" t="n"/>
      <c r="G190" s="280" t="n"/>
      <c r="H190" s="281" t="n"/>
      <c r="I190" s="282" t="n"/>
      <c r="J190" s="281" t="n"/>
      <c r="K190" s="485" t="n"/>
      <c r="L190" s="410" t="n"/>
      <c r="M190" s="199" t="n"/>
    </row>
    <row r="191" outlineLevel="2">
      <c r="A191" s="182" t="n"/>
      <c r="B191" s="215" t="n">
        <v>1</v>
      </c>
      <c r="C191" s="206" t="inlineStr">
        <is>
          <t xml:space="preserve">Changes to basic system to accommodate the new layout </t>
        </is>
      </c>
      <c r="D191" s="185" t="inlineStr">
        <is>
          <t>stelpost</t>
        </is>
      </c>
      <c r="E191" s="186">
        <f>K191</f>
        <v/>
      </c>
      <c r="F191" s="477">
        <f>CEILING(L191*$M$7,$M$8)</f>
        <v/>
      </c>
      <c r="G191" s="477">
        <f>ROUND(E191*F191,0)</f>
        <v/>
      </c>
      <c r="H191" s="188" t="n"/>
      <c r="I191" s="189" t="inlineStr">
        <is>
          <t>Klimaat</t>
        </is>
      </c>
      <c r="J191" s="188" t="n"/>
      <c r="K191" s="478" t="n">
        <v>0</v>
      </c>
      <c r="L191" s="481" t="n">
        <v>6500</v>
      </c>
      <c r="M191" s="480">
        <f>K191*L191</f>
        <v/>
      </c>
    </row>
    <row r="192" hidden="1" outlineLevel="2">
      <c r="A192" s="182" t="n"/>
      <c r="B192" s="219" t="n">
        <v>2</v>
      </c>
      <c r="C192" s="184" t="inlineStr">
        <is>
          <t>HVAC consultant. [Describe work]</t>
        </is>
      </c>
      <c r="D192" s="185" t="inlineStr">
        <is>
          <t>post</t>
        </is>
      </c>
      <c r="E192" s="186">
        <f>K192</f>
        <v/>
      </c>
      <c r="F192" s="477">
        <f>CEILING(L192*$M$7,$M$8)</f>
        <v/>
      </c>
      <c r="G192" s="477">
        <f>ROUND(E192*F192,0)</f>
        <v/>
      </c>
      <c r="H192" s="188" t="n"/>
      <c r="I192" s="189" t="inlineStr">
        <is>
          <t>Klimaat</t>
        </is>
      </c>
      <c r="J192" s="188" t="n"/>
      <c r="K192" s="478" t="n">
        <v>0</v>
      </c>
      <c r="L192" s="479" t="n">
        <v>0</v>
      </c>
      <c r="M192" s="480">
        <f>K192*L192</f>
        <v/>
      </c>
    </row>
    <row r="193" hidden="1" outlineLevel="2" ht="37.5" customHeight="1">
      <c r="A193" s="182" t="n"/>
      <c r="B193" s="219" t="n">
        <v>3</v>
      </c>
      <c r="C193" s="184" t="inlineStr">
        <is>
          <t>Modifications to the basic system to accommodate the new layout (including adjustments to ducts/pipes, thermostats, new grilles and/or cleaning of existing grilles, etc.). [Description]</t>
        </is>
      </c>
      <c r="D193" s="185" t="inlineStr">
        <is>
          <t>post</t>
        </is>
      </c>
      <c r="E193" s="186">
        <f>K193</f>
        <v/>
      </c>
      <c r="F193" s="477">
        <f>CEILING(L193*$M$7,$M$8)</f>
        <v/>
      </c>
      <c r="G193" s="477">
        <f>ROUND(E193*F193,0)</f>
        <v/>
      </c>
      <c r="H193" s="188" t="n"/>
      <c r="I193" s="189" t="inlineStr">
        <is>
          <t>Klimaat</t>
        </is>
      </c>
      <c r="J193" s="188" t="n"/>
      <c r="K193" s="478" t="n">
        <v>0</v>
      </c>
      <c r="L193" s="479" t="n">
        <v>0</v>
      </c>
      <c r="M193" s="480">
        <f>K193*L193</f>
        <v/>
      </c>
    </row>
    <row r="194" hidden="1" outlineLevel="2">
      <c r="A194" s="182" t="n"/>
      <c r="B194" s="215" t="n">
        <v>4</v>
      </c>
      <c r="C194" s="184" t="inlineStr">
        <is>
          <t>Commissioning of the system. [Description]</t>
        </is>
      </c>
      <c r="D194" s="185" t="inlineStr">
        <is>
          <t>post</t>
        </is>
      </c>
      <c r="E194" s="186">
        <f>K194</f>
        <v/>
      </c>
      <c r="F194" s="477">
        <f>CEILING(L194*$M$7,$M$8)</f>
        <v/>
      </c>
      <c r="G194" s="477">
        <f>ROUND(E194*F194,0)</f>
        <v/>
      </c>
      <c r="H194" s="188" t="n"/>
      <c r="I194" s="189" t="inlineStr">
        <is>
          <t>Klimaat</t>
        </is>
      </c>
      <c r="J194" s="188" t="n"/>
      <c r="K194" s="478" t="n">
        <v>0</v>
      </c>
      <c r="L194" s="479" t="n">
        <v>0</v>
      </c>
      <c r="M194" s="480">
        <f>K194*L194</f>
        <v/>
      </c>
    </row>
    <row r="195" hidden="1" outlineLevel="2">
      <c r="A195" s="182" t="n"/>
      <c r="B195" s="219" t="n">
        <v>5</v>
      </c>
      <c r="C195" s="184" t="inlineStr">
        <is>
          <t>Additional cooling for meetings in the room. [Description]</t>
        </is>
      </c>
      <c r="D195" s="185" t="inlineStr">
        <is>
          <t>post</t>
        </is>
      </c>
      <c r="E195" s="186">
        <f>K195</f>
        <v/>
      </c>
      <c r="F195" s="477">
        <f>CEILING(L195*$M$7,$M$8)</f>
        <v/>
      </c>
      <c r="G195" s="477">
        <f>ROUND(E195*F195,0)</f>
        <v/>
      </c>
      <c r="H195" s="188" t="n"/>
      <c r="I195" s="189" t="inlineStr">
        <is>
          <t>Klimaat</t>
        </is>
      </c>
      <c r="J195" s="188" t="n"/>
      <c r="K195" s="478" t="n">
        <v>0</v>
      </c>
      <c r="L195" s="479" t="n">
        <v>0</v>
      </c>
      <c r="M195" s="480">
        <f>K195*L195</f>
        <v/>
      </c>
    </row>
    <row r="196" hidden="1" outlineLevel="2">
      <c r="A196" s="182" t="n"/>
      <c r="B196" s="219" t="n">
        <v>6</v>
      </c>
      <c r="C196" s="184" t="inlineStr">
        <is>
          <t>Additional fresh air for meetings in the room. [Description]</t>
        </is>
      </c>
      <c r="D196" s="185" t="inlineStr">
        <is>
          <t>post</t>
        </is>
      </c>
      <c r="E196" s="186">
        <f>K196</f>
        <v/>
      </c>
      <c r="F196" s="477">
        <f>CEILING(L196*$M$7,$M$8)</f>
        <v/>
      </c>
      <c r="G196" s="477">
        <f>ROUND(E196*F196,0)</f>
        <v/>
      </c>
      <c r="H196" s="188" t="n"/>
      <c r="I196" s="189" t="inlineStr">
        <is>
          <t>Klimaat</t>
        </is>
      </c>
      <c r="J196" s="188" t="n"/>
      <c r="K196" s="478" t="n">
        <v>0</v>
      </c>
      <c r="L196" s="479" t="n">
        <v>0</v>
      </c>
      <c r="M196" s="480">
        <f>K196*L196</f>
        <v/>
      </c>
    </row>
    <row r="197" hidden="1" outlineLevel="2">
      <c r="A197" s="182" t="n"/>
      <c r="B197" s="215" t="n">
        <v>7</v>
      </c>
      <c r="C197" s="184" t="inlineStr">
        <is>
          <t>Modification/extension of existing control system. [Description]</t>
        </is>
      </c>
      <c r="D197" s="185" t="inlineStr">
        <is>
          <t>post</t>
        </is>
      </c>
      <c r="E197" s="186">
        <f>K197</f>
        <v/>
      </c>
      <c r="F197" s="477">
        <f>CEILING(L197*$M$7,$M$8)</f>
        <v/>
      </c>
      <c r="G197" s="477">
        <f>ROUND(E197*F197,0)</f>
        <v/>
      </c>
      <c r="H197" s="188" t="n"/>
      <c r="I197" s="189" t="inlineStr">
        <is>
          <t>Klimaat</t>
        </is>
      </c>
      <c r="J197" s="188" t="n"/>
      <c r="K197" s="478" t="n">
        <v>0</v>
      </c>
      <c r="L197" s="481" t="n">
        <v>0</v>
      </c>
      <c r="M197" s="480">
        <f>K197*L197</f>
        <v/>
      </c>
    </row>
    <row r="198" hidden="1" outlineLevel="2">
      <c r="A198" s="182" t="n"/>
      <c r="B198" s="183" t="n">
        <v>8</v>
      </c>
      <c r="C198" s="184" t="n"/>
      <c r="D198" s="185" t="inlineStr">
        <is>
          <t>post</t>
        </is>
      </c>
      <c r="E198" s="186">
        <f>K198</f>
        <v/>
      </c>
      <c r="F198" s="477">
        <f>CEILING(L198*$M$7,$M$8)</f>
        <v/>
      </c>
      <c r="G198" s="477">
        <f>ROUND(E198*F198,0)</f>
        <v/>
      </c>
      <c r="H198" s="194" t="n"/>
      <c r="I198" s="189" t="inlineStr">
        <is>
          <t>Klimaat</t>
        </is>
      </c>
      <c r="J198" s="194" t="n"/>
      <c r="K198" s="478" t="n">
        <v>0</v>
      </c>
      <c r="L198" s="481" t="n">
        <v>0</v>
      </c>
      <c r="M198" s="480">
        <f>K198*L198</f>
        <v/>
      </c>
    </row>
    <row r="199" hidden="1" outlineLevel="2">
      <c r="A199" s="182" t="n"/>
      <c r="B199" s="183" t="n">
        <v>9</v>
      </c>
      <c r="C199" s="184" t="n"/>
      <c r="D199" s="185" t="inlineStr">
        <is>
          <t>post</t>
        </is>
      </c>
      <c r="E199" s="186">
        <f>K199</f>
        <v/>
      </c>
      <c r="F199" s="477">
        <f>CEILING(L199*$M$7,$M$8)</f>
        <v/>
      </c>
      <c r="G199" s="477">
        <f>ROUND(E199*F199,0)</f>
        <v/>
      </c>
      <c r="H199" s="194" t="n"/>
      <c r="I199" s="189" t="inlineStr">
        <is>
          <t>Klimaat</t>
        </is>
      </c>
      <c r="J199" s="194" t="n"/>
      <c r="K199" s="478" t="n">
        <v>0</v>
      </c>
      <c r="L199" s="481" t="n">
        <v>0</v>
      </c>
      <c r="M199" s="480">
        <f>K199*L199</f>
        <v/>
      </c>
    </row>
    <row r="200" hidden="1" outlineLevel="2">
      <c r="A200" s="182" t="n"/>
      <c r="B200" s="183" t="n">
        <v>10</v>
      </c>
      <c r="C200" s="184" t="n"/>
      <c r="D200" s="185" t="inlineStr">
        <is>
          <t>post</t>
        </is>
      </c>
      <c r="E200" s="186">
        <f>K200</f>
        <v/>
      </c>
      <c r="F200" s="477">
        <f>CEILING(L200*$M$7,$M$8)</f>
        <v/>
      </c>
      <c r="G200" s="477">
        <f>ROUND(E200*F200,0)</f>
        <v/>
      </c>
      <c r="H200" s="194" t="n"/>
      <c r="I200" s="189" t="inlineStr">
        <is>
          <t>Klimaat</t>
        </is>
      </c>
      <c r="J200" s="194" t="n"/>
      <c r="K200" s="478" t="n">
        <v>0</v>
      </c>
      <c r="L200" s="481" t="n">
        <v>0</v>
      </c>
      <c r="M200" s="480">
        <f>K200*L200</f>
        <v/>
      </c>
    </row>
    <row r="201" hidden="1" outlineLevel="2">
      <c r="A201" s="182" t="n"/>
      <c r="B201" s="183" t="n">
        <v>11</v>
      </c>
      <c r="C201" s="184" t="n"/>
      <c r="D201" s="185" t="inlineStr">
        <is>
          <t>post</t>
        </is>
      </c>
      <c r="E201" s="186">
        <f>K201</f>
        <v/>
      </c>
      <c r="F201" s="477">
        <f>CEILING(L201*$M$7,$M$8)</f>
        <v/>
      </c>
      <c r="G201" s="477">
        <f>ROUND(E201*F201,0)</f>
        <v/>
      </c>
      <c r="H201" s="194" t="n"/>
      <c r="I201" s="189" t="inlineStr">
        <is>
          <t>Klimaat</t>
        </is>
      </c>
      <c r="J201" s="194" t="n"/>
      <c r="K201" s="478" t="n">
        <v>0</v>
      </c>
      <c r="L201" s="481" t="n">
        <v>0</v>
      </c>
      <c r="M201" s="480">
        <f>K201*L201</f>
        <v/>
      </c>
    </row>
    <row r="202" hidden="1" outlineLevel="2">
      <c r="A202" s="182" t="n"/>
      <c r="B202" s="183" t="n">
        <v>12</v>
      </c>
      <c r="C202" s="184" t="n"/>
      <c r="D202" s="185" t="inlineStr">
        <is>
          <t>post</t>
        </is>
      </c>
      <c r="E202" s="186">
        <f>K202</f>
        <v/>
      </c>
      <c r="F202" s="477">
        <f>CEILING(L202*$M$7,$M$8)</f>
        <v/>
      </c>
      <c r="G202" s="477">
        <f>ROUND(E202*F202,0)</f>
        <v/>
      </c>
      <c r="H202" s="194" t="n"/>
      <c r="I202" s="189" t="inlineStr">
        <is>
          <t>Klimaat</t>
        </is>
      </c>
      <c r="J202" s="194" t="n"/>
      <c r="K202" s="478" t="n">
        <v>0</v>
      </c>
      <c r="L202" s="481" t="n">
        <v>0</v>
      </c>
      <c r="M202" s="480">
        <f>K202*L202</f>
        <v/>
      </c>
    </row>
    <row r="203" hidden="1" outlineLevel="2">
      <c r="A203" s="182" t="n"/>
      <c r="B203" s="183" t="n">
        <v>13</v>
      </c>
      <c r="C203" s="184" t="n"/>
      <c r="D203" s="185" t="inlineStr">
        <is>
          <t>post</t>
        </is>
      </c>
      <c r="E203" s="186">
        <f>K203</f>
        <v/>
      </c>
      <c r="F203" s="477">
        <f>CEILING(L203*$M$7,$M$8)</f>
        <v/>
      </c>
      <c r="G203" s="477">
        <f>ROUND(E203*F203,0)</f>
        <v/>
      </c>
      <c r="H203" s="194" t="n"/>
      <c r="I203" s="189" t="inlineStr">
        <is>
          <t>Klimaat</t>
        </is>
      </c>
      <c r="J203" s="194" t="n"/>
      <c r="K203" s="478" t="n">
        <v>0</v>
      </c>
      <c r="L203" s="481" t="n">
        <v>0</v>
      </c>
      <c r="M203" s="480">
        <f>K203*L203</f>
        <v/>
      </c>
    </row>
    <row r="204" hidden="1" outlineLevel="2">
      <c r="A204" s="195" t="n"/>
      <c r="B204" s="215" t="n"/>
      <c r="C204" s="184" t="n"/>
      <c r="D204" s="185" t="n"/>
      <c r="E204" s="486" t="n"/>
      <c r="F204" s="477" t="n"/>
      <c r="G204" s="477" t="n"/>
      <c r="H204" s="194" t="n"/>
      <c r="I204" s="189" t="n"/>
      <c r="J204" s="194" t="n"/>
      <c r="K204" s="478" t="n"/>
      <c r="L204" s="481" t="n"/>
      <c r="M204" s="480" t="n"/>
    </row>
    <row r="205" outlineLevel="2">
      <c r="E205" s="38" t="n"/>
      <c r="F205" s="38" t="n"/>
      <c r="G205" s="482">
        <f>SUM(G191:G204)</f>
        <v/>
      </c>
      <c r="K205" s="483" t="n"/>
      <c r="M205" s="484">
        <f>SUM(M191:M204)</f>
        <v/>
      </c>
    </row>
    <row r="206" outlineLevel="1">
      <c r="E206" s="38" t="n"/>
      <c r="F206" s="38" t="n"/>
      <c r="G206" s="38" t="n"/>
      <c r="K206" s="483" t="n"/>
    </row>
    <row r="207" outlineLevel="2">
      <c r="A207" s="179" t="n">
        <v>220</v>
      </c>
      <c r="B207" s="279" t="inlineStr">
        <is>
          <t>PLUMBING WORK</t>
        </is>
      </c>
      <c r="C207" s="280" t="n"/>
      <c r="D207" s="280" t="n"/>
      <c r="E207" s="280" t="n"/>
      <c r="F207" s="280" t="n"/>
      <c r="G207" s="280" t="n"/>
      <c r="H207" s="281" t="n"/>
      <c r="I207" s="282" t="n"/>
      <c r="J207" s="281" t="n"/>
      <c r="K207" s="485" t="n"/>
      <c r="L207" s="410" t="n"/>
      <c r="M207" s="199" t="n"/>
    </row>
    <row r="208" outlineLevel="2">
      <c r="A208" s="182" t="n"/>
      <c r="B208" s="215" t="n">
        <v>1</v>
      </c>
      <c r="C208" s="206" t="inlineStr">
        <is>
          <t xml:space="preserve">Plumbing works for pantry, including Quooker. </t>
        </is>
      </c>
      <c r="D208" s="185" t="inlineStr">
        <is>
          <t>stelpost</t>
        </is>
      </c>
      <c r="E208" s="186">
        <f>K208</f>
        <v/>
      </c>
      <c r="F208" s="477">
        <f>CEILING(L208*$M$7,$M$8)</f>
        <v/>
      </c>
      <c r="G208" s="477">
        <f>ROUND(E208*F208,0)</f>
        <v/>
      </c>
      <c r="H208" s="188" t="n"/>
      <c r="I208" s="212" t="inlineStr">
        <is>
          <t>Loodgieter</t>
        </is>
      </c>
      <c r="J208" s="188" t="n"/>
      <c r="K208" s="478" t="n">
        <v>0</v>
      </c>
      <c r="L208" s="481" t="n">
        <v>3880</v>
      </c>
      <c r="M208" s="480">
        <f>K208*L208</f>
        <v/>
      </c>
    </row>
    <row r="209" outlineLevel="2">
      <c r="A209" s="182" t="n"/>
      <c r="B209" s="183" t="n">
        <v>2</v>
      </c>
      <c r="C209" s="184" t="inlineStr">
        <is>
          <t xml:space="preserve">Plumbing works for cleaning storage. </t>
        </is>
      </c>
      <c r="D209" s="185" t="inlineStr">
        <is>
          <t>stelpost</t>
        </is>
      </c>
      <c r="E209" s="186">
        <f>K209</f>
        <v/>
      </c>
      <c r="F209" s="477">
        <f>CEILING(L209*$M$7,$M$8)</f>
        <v/>
      </c>
      <c r="G209" s="477">
        <f>ROUND(E209*F209,0)</f>
        <v/>
      </c>
      <c r="H209" s="194" t="n"/>
      <c r="I209" s="212" t="inlineStr">
        <is>
          <t>Loodgieter</t>
        </is>
      </c>
      <c r="J209" s="194" t="n"/>
      <c r="K209" s="478" t="n">
        <v>0</v>
      </c>
      <c r="L209" s="481" t="n">
        <v>1775</v>
      </c>
      <c r="M209" s="480">
        <f>K209*L209</f>
        <v/>
      </c>
    </row>
    <row r="210" hidden="1" outlineLevel="2">
      <c r="A210" s="182" t="n"/>
      <c r="B210" s="183" t="n">
        <v>3</v>
      </c>
      <c r="C210" s="184" t="n"/>
      <c r="D210" s="185" t="inlineStr">
        <is>
          <t>post</t>
        </is>
      </c>
      <c r="E210" s="186">
        <f>K210</f>
        <v/>
      </c>
      <c r="F210" s="477">
        <f>CEILING(L210*$M$7,$M$8)</f>
        <v/>
      </c>
      <c r="G210" s="477">
        <f>ROUND(E210*F210,0)</f>
        <v/>
      </c>
      <c r="H210" s="194" t="n"/>
      <c r="I210" s="212" t="inlineStr">
        <is>
          <t>Loodgieter</t>
        </is>
      </c>
      <c r="J210" s="194" t="n"/>
      <c r="K210" s="478" t="n">
        <v>0</v>
      </c>
      <c r="L210" s="481" t="n">
        <v>0</v>
      </c>
      <c r="M210" s="480">
        <f>K210*L210</f>
        <v/>
      </c>
    </row>
    <row r="211" hidden="1" outlineLevel="2">
      <c r="A211" s="182" t="n"/>
      <c r="B211" s="183" t="n">
        <v>4</v>
      </c>
      <c r="C211" s="184" t="n"/>
      <c r="D211" s="185" t="inlineStr">
        <is>
          <t>post</t>
        </is>
      </c>
      <c r="E211" s="186">
        <f>K211</f>
        <v/>
      </c>
      <c r="F211" s="477">
        <f>CEILING(L211*$M$7,$M$8)</f>
        <v/>
      </c>
      <c r="G211" s="477">
        <f>ROUND(E211*F211,0)</f>
        <v/>
      </c>
      <c r="H211" s="194" t="n"/>
      <c r="I211" s="212" t="inlineStr">
        <is>
          <t>Loodgieter</t>
        </is>
      </c>
      <c r="J211" s="194" t="n"/>
      <c r="K211" s="478" t="n">
        <v>0</v>
      </c>
      <c r="L211" s="481" t="n">
        <v>0</v>
      </c>
      <c r="M211" s="480">
        <f>K211*L211</f>
        <v/>
      </c>
    </row>
    <row r="212" hidden="1" outlineLevel="2">
      <c r="A212" s="195" t="n"/>
      <c r="B212" s="219" t="n"/>
      <c r="C212" s="184" t="n"/>
      <c r="D212" s="185" t="n"/>
      <c r="E212" s="486" t="n"/>
      <c r="F212" s="477" t="n"/>
      <c r="G212" s="477" t="n"/>
      <c r="H212" s="188" t="n"/>
      <c r="I212" s="212" t="n"/>
      <c r="J212" s="188" t="n"/>
      <c r="K212" s="478" t="n"/>
      <c r="L212" s="481" t="n"/>
      <c r="M212" s="480" t="n"/>
    </row>
    <row r="213" outlineLevel="2">
      <c r="E213" s="38" t="n"/>
      <c r="F213" s="38" t="n"/>
      <c r="G213" s="482">
        <f>SUM(G208:G212)</f>
        <v/>
      </c>
      <c r="K213" s="483" t="n"/>
      <c r="M213" s="484">
        <f>SUM(M208:M212)</f>
        <v/>
      </c>
    </row>
    <row r="214" outlineLevel="1">
      <c r="E214" s="38" t="n"/>
      <c r="F214" s="38" t="n"/>
      <c r="G214" s="38" t="n"/>
      <c r="K214" s="483" t="n"/>
    </row>
    <row r="215" outlineLevel="2">
      <c r="A215" s="179" t="n">
        <v>230</v>
      </c>
      <c r="B215" s="279" t="inlineStr">
        <is>
          <t>ELECTRICAL INSTALLATION</t>
        </is>
      </c>
      <c r="C215" s="280" t="n"/>
      <c r="D215" s="280" t="n"/>
      <c r="E215" s="280" t="n"/>
      <c r="F215" s="280" t="n"/>
      <c r="G215" s="280" t="n"/>
      <c r="H215" s="281" t="n"/>
      <c r="I215" s="282" t="n"/>
      <c r="J215" s="281" t="n"/>
      <c r="K215" s="485" t="n"/>
      <c r="L215" s="410" t="n"/>
      <c r="M215" s="199" t="n"/>
    </row>
    <row r="216" outlineLevel="2" ht="38.25" customHeight="1">
      <c r="A216" s="182" t="n"/>
      <c r="B216" s="215" t="n">
        <v>1</v>
      </c>
      <c r="C216" s="206" t="inlineStr">
        <is>
          <t xml:space="preserve">Electrical provisions for all the workstations (30), including focus spaces (2), phone booths (3), meeting rooms (4), printer (3), custom furniture (4), reception (4) and provisional extra's (10). </t>
        </is>
      </c>
      <c r="D216" s="185" t="inlineStr">
        <is>
          <t>stelpost</t>
        </is>
      </c>
      <c r="E216" s="186">
        <f>K216</f>
        <v/>
      </c>
      <c r="F216" s="477">
        <f>CEILING(L216*$M$7,$M$8)</f>
        <v/>
      </c>
      <c r="G216" s="477">
        <f>ROUND(E216*F216,0)</f>
        <v/>
      </c>
      <c r="H216" s="194" t="n"/>
      <c r="I216" s="212" t="inlineStr">
        <is>
          <t>Installateur</t>
        </is>
      </c>
      <c r="J216" s="194" t="n"/>
      <c r="K216" s="478" t="n">
        <v>0</v>
      </c>
      <c r="L216" s="481" t="n">
        <v>59.08</v>
      </c>
      <c r="M216" s="480">
        <f>K216*L216</f>
        <v/>
      </c>
    </row>
    <row r="217" outlineLevel="2">
      <c r="A217" s="182" t="n"/>
      <c r="B217" s="219" t="n">
        <v>2</v>
      </c>
      <c r="C217" s="184" t="inlineStr">
        <is>
          <t xml:space="preserve">Modification / extension of existing distribution board. </t>
        </is>
      </c>
      <c r="D217" s="185" t="inlineStr">
        <is>
          <t>stelpost</t>
        </is>
      </c>
      <c r="E217" s="186">
        <f>K217</f>
        <v/>
      </c>
      <c r="F217" s="477">
        <f>CEILING(L217*$M$7,$M$8)</f>
        <v/>
      </c>
      <c r="G217" s="477">
        <f>ROUND(E217*F217,0)</f>
        <v/>
      </c>
      <c r="H217" s="194" t="n"/>
      <c r="I217" s="212" t="inlineStr">
        <is>
          <t>Installateur</t>
        </is>
      </c>
      <c r="J217" s="194" t="n"/>
      <c r="K217" s="478" t="n">
        <v>0</v>
      </c>
      <c r="L217" s="481" t="n">
        <v>4500</v>
      </c>
      <c r="M217" s="480">
        <f>K217*L217</f>
        <v/>
      </c>
    </row>
    <row r="218" outlineLevel="2">
      <c r="A218" s="182" t="n"/>
      <c r="B218" s="219" t="n">
        <v>3</v>
      </c>
      <c r="C218" s="184" t="inlineStr">
        <is>
          <t xml:space="preserve">Additional costs electricial provisions. </t>
        </is>
      </c>
      <c r="D218" s="185" t="inlineStr">
        <is>
          <t>stelpost</t>
        </is>
      </c>
      <c r="E218" s="186">
        <f>K218</f>
        <v/>
      </c>
      <c r="F218" s="477">
        <f>CEILING(L218*$M$7,$M$8)</f>
        <v/>
      </c>
      <c r="G218" s="477">
        <f>ROUND(E218*F218,0)</f>
        <v/>
      </c>
      <c r="H218" s="194" t="n"/>
      <c r="I218" s="212" t="inlineStr">
        <is>
          <t>Installateur</t>
        </is>
      </c>
      <c r="J218" s="194" t="n"/>
      <c r="K218" s="478" t="n">
        <v>0</v>
      </c>
      <c r="L218" s="481" t="n">
        <v>2400</v>
      </c>
      <c r="M218" s="480">
        <f>K218*L218</f>
        <v/>
      </c>
    </row>
    <row r="219" hidden="1" outlineLevel="2">
      <c r="A219" s="182" t="n"/>
      <c r="B219" s="215" t="n">
        <v>4</v>
      </c>
      <c r="C219" s="184" t="inlineStr">
        <is>
          <t>Modification / extension of cable ducts / ladder racks. [Describe]</t>
        </is>
      </c>
      <c r="D219" s="185" t="inlineStr">
        <is>
          <t>post</t>
        </is>
      </c>
      <c r="E219" s="186">
        <f>K219</f>
        <v/>
      </c>
      <c r="F219" s="477">
        <f>CEILING(L219*$M$7,$M$8)</f>
        <v/>
      </c>
      <c r="G219" s="477">
        <f>ROUND(E219*F219,0)</f>
        <v/>
      </c>
      <c r="H219" s="194" t="n"/>
      <c r="I219" s="212" t="inlineStr">
        <is>
          <t>Installateur</t>
        </is>
      </c>
      <c r="J219" s="194" t="n"/>
      <c r="K219" s="478" t="n">
        <v>0</v>
      </c>
      <c r="L219" s="481" t="n">
        <v>0</v>
      </c>
      <c r="M219" s="480">
        <f>K219*L219</f>
        <v/>
      </c>
    </row>
    <row r="220" hidden="1" outlineLevel="2">
      <c r="A220" s="182" t="n"/>
      <c r="B220" s="219" t="n">
        <v>5</v>
      </c>
      <c r="C220" s="184" t="inlineStr">
        <is>
          <t>Extension of existing floor / wall ducts. [Describe]</t>
        </is>
      </c>
      <c r="D220" s="185" t="inlineStr">
        <is>
          <t>post</t>
        </is>
      </c>
      <c r="E220" s="186">
        <f>K220</f>
        <v/>
      </c>
      <c r="F220" s="477">
        <f>CEILING(L220*$M$7,$M$8)</f>
        <v/>
      </c>
      <c r="G220" s="477">
        <f>ROUND(E220*F220,0)</f>
        <v/>
      </c>
      <c r="H220" s="194" t="n"/>
      <c r="I220" s="212" t="inlineStr">
        <is>
          <t>Installateur</t>
        </is>
      </c>
      <c r="J220" s="194" t="n"/>
      <c r="K220" s="478" t="n">
        <v>0</v>
      </c>
      <c r="L220" s="481" t="n">
        <v>0</v>
      </c>
      <c r="M220" s="480">
        <f>K220*L220</f>
        <v/>
      </c>
    </row>
    <row r="221" hidden="1" outlineLevel="2" ht="38.45" customHeight="1">
      <c r="A221" s="182" t="n"/>
      <c r="B221" s="219" t="n">
        <v>6</v>
      </c>
      <c r="C221" s="184" t="inlineStr">
        <is>
          <t>Power supply to workstations via floor sockets / floor columns (including drilling and/or milling work and sealing of milled ducts, excluding cable cubbies). [Describe]</t>
        </is>
      </c>
      <c r="D221" s="185" t="inlineStr">
        <is>
          <t>post</t>
        </is>
      </c>
      <c r="E221" s="186">
        <f>K221</f>
        <v/>
      </c>
      <c r="F221" s="477">
        <f>CEILING(L221*$M$7,$M$8)</f>
        <v/>
      </c>
      <c r="G221" s="477">
        <f>ROUND(E221*F221,0)</f>
        <v/>
      </c>
      <c r="H221" s="194" t="n"/>
      <c r="I221" s="212" t="inlineStr">
        <is>
          <t>Installateur</t>
        </is>
      </c>
      <c r="J221" s="194" t="n"/>
      <c r="K221" s="478" t="n">
        <v>0</v>
      </c>
      <c r="L221" s="481" t="n">
        <v>0</v>
      </c>
      <c r="M221" s="480">
        <f>K221*L221</f>
        <v/>
      </c>
    </row>
    <row r="222" hidden="1" outlineLevel="2" ht="24.6" customHeight="1">
      <c r="A222" s="182" t="n"/>
      <c r="B222" s="215" t="n">
        <v>7</v>
      </c>
      <c r="C222" s="184" t="inlineStr">
        <is>
          <t>Drilling and milling work for the extension / modification of floor sockets / wall ducts. [Specify]</t>
        </is>
      </c>
      <c r="D222" s="185" t="inlineStr">
        <is>
          <t>post</t>
        </is>
      </c>
      <c r="E222" s="186">
        <f>K222</f>
        <v/>
      </c>
      <c r="F222" s="477">
        <f>CEILING(L222*$M$7,$M$8)</f>
        <v/>
      </c>
      <c r="G222" s="477">
        <f>ROUND(E222*F222,0)</f>
        <v/>
      </c>
      <c r="H222" s="194" t="n"/>
      <c r="I222" s="212" t="inlineStr">
        <is>
          <t>Installateur</t>
        </is>
      </c>
      <c r="J222" s="194" t="n"/>
      <c r="K222" s="478" t="n">
        <v>0</v>
      </c>
      <c r="L222" s="481" t="n">
        <v>0</v>
      </c>
      <c r="M222" s="480">
        <f>K222*L222</f>
        <v/>
      </c>
    </row>
    <row r="223" hidden="1" outlineLevel="2">
      <c r="A223" s="182" t="n"/>
      <c r="B223" s="219" t="n">
        <v>8</v>
      </c>
      <c r="C223" s="184" t="inlineStr">
        <is>
          <t>Repair of floor / wall due to milling work. [Specify]</t>
        </is>
      </c>
      <c r="D223" s="185" t="inlineStr">
        <is>
          <t>post</t>
        </is>
      </c>
      <c r="E223" s="186">
        <f>K223</f>
        <v/>
      </c>
      <c r="F223" s="477">
        <f>CEILING(L223*$M$7,$M$8)</f>
        <v/>
      </c>
      <c r="G223" s="477">
        <f>ROUND(E223*F223,0)</f>
        <v/>
      </c>
      <c r="H223" s="194" t="n"/>
      <c r="I223" s="212" t="inlineStr">
        <is>
          <t>Installateur</t>
        </is>
      </c>
      <c r="J223" s="194" t="n"/>
      <c r="K223" s="478" t="n">
        <v>0</v>
      </c>
      <c r="L223" s="481" t="n">
        <v>0</v>
      </c>
      <c r="M223" s="480">
        <f>K223*L223</f>
        <v/>
      </c>
    </row>
    <row r="224" hidden="1" outlineLevel="2">
      <c r="A224" s="182" t="n"/>
      <c r="B224" s="219" t="n">
        <v>9</v>
      </c>
      <c r="C224" s="184" t="inlineStr">
        <is>
          <t>Other …. [Specify]</t>
        </is>
      </c>
      <c r="D224" s="185" t="inlineStr">
        <is>
          <t>post</t>
        </is>
      </c>
      <c r="E224" s="186">
        <f>K224</f>
        <v/>
      </c>
      <c r="F224" s="477">
        <f>CEILING(L224*$M$7,$M$8)</f>
        <v/>
      </c>
      <c r="G224" s="477">
        <f>ROUND(E224*F224,0)</f>
        <v/>
      </c>
      <c r="H224" s="194" t="n"/>
      <c r="I224" s="212" t="inlineStr">
        <is>
          <t>Installateur</t>
        </is>
      </c>
      <c r="J224" s="194" t="n"/>
      <c r="K224" s="478" t="n">
        <v>0</v>
      </c>
      <c r="L224" s="481" t="n">
        <v>0</v>
      </c>
      <c r="M224" s="480">
        <f>K224*L224</f>
        <v/>
      </c>
    </row>
    <row r="225" hidden="1" outlineLevel="2">
      <c r="A225" s="182" t="n"/>
      <c r="B225" s="215" t="n">
        <v>10</v>
      </c>
      <c r="C225" s="184" t="inlineStr">
        <is>
          <t xml:space="preserve">Emergency power generator (NSA). </t>
        </is>
      </c>
      <c r="D225" s="185" t="inlineStr">
        <is>
          <t>post</t>
        </is>
      </c>
      <c r="E225" s="186">
        <f>K225</f>
        <v/>
      </c>
      <c r="F225" s="477">
        <f>CEILING(L225*$M$7,$M$8)</f>
        <v/>
      </c>
      <c r="G225" s="477">
        <f>ROUND(E225*F225,0)</f>
        <v/>
      </c>
      <c r="H225" s="194" t="n"/>
      <c r="I225" s="212" t="inlineStr">
        <is>
          <t>Installateur</t>
        </is>
      </c>
      <c r="J225" s="194" t="n"/>
      <c r="K225" s="478" t="n">
        <v>0</v>
      </c>
      <c r="L225" s="481" t="n">
        <v>0</v>
      </c>
      <c r="M225" s="480">
        <f>K225*L225</f>
        <v/>
      </c>
    </row>
    <row r="226" hidden="1" outlineLevel="2">
      <c r="A226" s="182" t="n"/>
      <c r="B226" s="219" t="n">
        <v>11</v>
      </c>
      <c r="C226" s="184" t="inlineStr">
        <is>
          <t>Structural provisions (NSA).</t>
        </is>
      </c>
      <c r="D226" s="185" t="inlineStr">
        <is>
          <t>post</t>
        </is>
      </c>
      <c r="E226" s="186">
        <f>K226</f>
        <v/>
      </c>
      <c r="F226" s="477">
        <f>CEILING(L226*$M$7,$M$8)</f>
        <v/>
      </c>
      <c r="G226" s="477">
        <f>ROUND(E226*F226,0)</f>
        <v/>
      </c>
      <c r="H226" s="194" t="n"/>
      <c r="I226" s="212" t="inlineStr">
        <is>
          <t>Installateur</t>
        </is>
      </c>
      <c r="J226" s="194" t="n"/>
      <c r="K226" s="478" t="n">
        <v>0</v>
      </c>
      <c r="L226" s="481" t="n">
        <v>0</v>
      </c>
      <c r="M226" s="480">
        <f>K226*L226</f>
        <v/>
      </c>
    </row>
    <row r="227" hidden="1" outlineLevel="2">
      <c r="A227" s="182" t="n"/>
      <c r="B227" s="219" t="n">
        <v>12</v>
      </c>
      <c r="C227" s="184" t="inlineStr">
        <is>
          <t>Electrical installations for the NSA.</t>
        </is>
      </c>
      <c r="D227" s="185" t="inlineStr">
        <is>
          <t>post</t>
        </is>
      </c>
      <c r="E227" s="186">
        <f>K227</f>
        <v/>
      </c>
      <c r="F227" s="477">
        <f>CEILING(L227*$M$7,$M$8)</f>
        <v/>
      </c>
      <c r="G227" s="477">
        <f>ROUND(E227*F227,0)</f>
        <v/>
      </c>
      <c r="H227" s="194" t="n"/>
      <c r="I227" s="212" t="inlineStr">
        <is>
          <t>Installateur</t>
        </is>
      </c>
      <c r="J227" s="194" t="n"/>
      <c r="K227" s="478" t="n">
        <v>0</v>
      </c>
      <c r="L227" s="481" t="n">
        <v>0</v>
      </c>
      <c r="M227" s="480">
        <f>K227*L227</f>
        <v/>
      </c>
    </row>
    <row r="228" hidden="1" outlineLevel="2">
      <c r="A228" s="182" t="n"/>
      <c r="B228" s="215" t="n">
        <v>13</v>
      </c>
      <c r="C228" s="184" t="inlineStr">
        <is>
          <t>Mechanical installations for the NSA.</t>
        </is>
      </c>
      <c r="D228" s="185" t="inlineStr">
        <is>
          <t>post</t>
        </is>
      </c>
      <c r="E228" s="186">
        <f>K228</f>
        <v/>
      </c>
      <c r="F228" s="477">
        <f>CEILING(L228*$M$7,$M$8)</f>
        <v/>
      </c>
      <c r="G228" s="477">
        <f>ROUND(E228*F228,0)</f>
        <v/>
      </c>
      <c r="H228" s="194" t="n"/>
      <c r="I228" s="212" t="inlineStr">
        <is>
          <t>Installateur</t>
        </is>
      </c>
      <c r="J228" s="194" t="n"/>
      <c r="K228" s="478" t="n">
        <v>0</v>
      </c>
      <c r="L228" s="481" t="n">
        <v>0</v>
      </c>
      <c r="M228" s="480">
        <f>K228*L228</f>
        <v/>
      </c>
    </row>
    <row r="229" hidden="1" outlineLevel="2">
      <c r="A229" s="182" t="n"/>
      <c r="B229" s="219" t="n">
        <v>14</v>
      </c>
      <c r="C229" s="184" t="inlineStr">
        <is>
          <t>Other special electrical installations. [Describe]</t>
        </is>
      </c>
      <c r="D229" s="185" t="inlineStr">
        <is>
          <t>post</t>
        </is>
      </c>
      <c r="E229" s="186">
        <f>K229</f>
        <v/>
      </c>
      <c r="F229" s="477">
        <f>CEILING(L229*$M$7,$M$8)</f>
        <v/>
      </c>
      <c r="G229" s="477">
        <f>ROUND(E229*F229,0)</f>
        <v/>
      </c>
      <c r="H229" s="194" t="n"/>
      <c r="I229" s="212" t="inlineStr">
        <is>
          <t>Installateur</t>
        </is>
      </c>
      <c r="J229" s="194" t="n"/>
      <c r="K229" s="478" t="n">
        <v>0</v>
      </c>
      <c r="L229" s="481" t="n">
        <v>0</v>
      </c>
      <c r="M229" s="480">
        <f>K229*L229</f>
        <v/>
      </c>
    </row>
    <row r="230" hidden="1" outlineLevel="2">
      <c r="A230" s="182" t="n"/>
      <c r="B230" s="183" t="n">
        <v>15</v>
      </c>
      <c r="C230" s="184" t="n"/>
      <c r="D230" s="185" t="inlineStr">
        <is>
          <t>post</t>
        </is>
      </c>
      <c r="E230" s="186">
        <f>K230</f>
        <v/>
      </c>
      <c r="F230" s="477">
        <f>CEILING(L230*$M$7,$M$8)</f>
        <v/>
      </c>
      <c r="G230" s="477">
        <f>ROUND(E230*F230,0)</f>
        <v/>
      </c>
      <c r="H230" s="194" t="n"/>
      <c r="I230" s="212" t="inlineStr">
        <is>
          <t>Installateur</t>
        </is>
      </c>
      <c r="J230" s="194" t="n"/>
      <c r="K230" s="478" t="n">
        <v>0</v>
      </c>
      <c r="L230" s="481" t="n">
        <v>0</v>
      </c>
      <c r="M230" s="480">
        <f>K230*L230</f>
        <v/>
      </c>
    </row>
    <row r="231" hidden="1" outlineLevel="2">
      <c r="A231" s="182" t="n"/>
      <c r="B231" s="183" t="n">
        <v>16</v>
      </c>
      <c r="C231" s="184" t="n"/>
      <c r="D231" s="185" t="inlineStr">
        <is>
          <t>post</t>
        </is>
      </c>
      <c r="E231" s="186">
        <f>K231</f>
        <v/>
      </c>
      <c r="F231" s="477">
        <f>CEILING(L231*$M$7,$M$8)</f>
        <v/>
      </c>
      <c r="G231" s="477">
        <f>ROUND(E231*F231,0)</f>
        <v/>
      </c>
      <c r="H231" s="194" t="n"/>
      <c r="I231" s="212" t="inlineStr">
        <is>
          <t>Installateur</t>
        </is>
      </c>
      <c r="J231" s="194" t="n"/>
      <c r="K231" s="478" t="n">
        <v>0</v>
      </c>
      <c r="L231" s="481" t="n">
        <v>0</v>
      </c>
      <c r="M231" s="480">
        <f>K231*L231</f>
        <v/>
      </c>
    </row>
    <row r="232" hidden="1" outlineLevel="2">
      <c r="A232" s="182" t="n"/>
      <c r="B232" s="183" t="n">
        <v>17</v>
      </c>
      <c r="C232" s="184" t="n"/>
      <c r="D232" s="185" t="inlineStr">
        <is>
          <t>post</t>
        </is>
      </c>
      <c r="E232" s="186">
        <f>K232</f>
        <v/>
      </c>
      <c r="F232" s="477">
        <f>CEILING(L232*$M$7,$M$8)</f>
        <v/>
      </c>
      <c r="G232" s="477">
        <f>ROUND(E232*F232,0)</f>
        <v/>
      </c>
      <c r="H232" s="194" t="n"/>
      <c r="I232" s="212" t="inlineStr">
        <is>
          <t>Installateur</t>
        </is>
      </c>
      <c r="J232" s="194" t="n"/>
      <c r="K232" s="478" t="n">
        <v>0</v>
      </c>
      <c r="L232" s="481" t="n">
        <v>0</v>
      </c>
      <c r="M232" s="480">
        <f>K232*L232</f>
        <v/>
      </c>
    </row>
    <row r="233" hidden="1" outlineLevel="2">
      <c r="A233" s="182" t="n"/>
      <c r="B233" s="183" t="n">
        <v>18</v>
      </c>
      <c r="C233" s="184" t="n"/>
      <c r="D233" s="185" t="inlineStr">
        <is>
          <t>post</t>
        </is>
      </c>
      <c r="E233" s="186">
        <f>K233</f>
        <v/>
      </c>
      <c r="F233" s="477">
        <f>CEILING(L233*$M$7,$M$8)</f>
        <v/>
      </c>
      <c r="G233" s="477">
        <f>ROUND(E233*F233,0)</f>
        <v/>
      </c>
      <c r="H233" s="194" t="n"/>
      <c r="I233" s="212" t="inlineStr">
        <is>
          <t>Installateur</t>
        </is>
      </c>
      <c r="J233" s="194" t="n"/>
      <c r="K233" s="478" t="n">
        <v>0</v>
      </c>
      <c r="L233" s="481" t="n">
        <v>0</v>
      </c>
      <c r="M233" s="480">
        <f>K233*L233</f>
        <v/>
      </c>
    </row>
    <row r="234" hidden="1" outlineLevel="2">
      <c r="A234" s="182" t="n"/>
      <c r="B234" s="183" t="n">
        <v>19</v>
      </c>
      <c r="C234" s="184" t="n"/>
      <c r="D234" s="185" t="inlineStr">
        <is>
          <t>post</t>
        </is>
      </c>
      <c r="E234" s="186">
        <f>K234</f>
        <v/>
      </c>
      <c r="F234" s="477">
        <f>CEILING(L234*$M$7,$M$8)</f>
        <v/>
      </c>
      <c r="G234" s="477">
        <f>ROUND(E234*F234,0)</f>
        <v/>
      </c>
      <c r="H234" s="194" t="n"/>
      <c r="I234" s="212" t="inlineStr">
        <is>
          <t>Installateur</t>
        </is>
      </c>
      <c r="J234" s="194" t="n"/>
      <c r="K234" s="478" t="n">
        <v>0</v>
      </c>
      <c r="L234" s="481" t="n">
        <v>0</v>
      </c>
      <c r="M234" s="480">
        <f>K234*L234</f>
        <v/>
      </c>
    </row>
    <row r="235" hidden="1" outlineLevel="2">
      <c r="A235" s="182" t="n"/>
      <c r="B235" s="183" t="n">
        <v>20</v>
      </c>
      <c r="C235" s="184" t="n"/>
      <c r="D235" s="185" t="inlineStr">
        <is>
          <t>post</t>
        </is>
      </c>
      <c r="E235" s="186">
        <f>K235</f>
        <v/>
      </c>
      <c r="F235" s="477">
        <f>CEILING(L235*$M$7,$M$8)</f>
        <v/>
      </c>
      <c r="G235" s="477">
        <f>ROUND(E235*F235,0)</f>
        <v/>
      </c>
      <c r="H235" s="194" t="n"/>
      <c r="I235" s="212" t="inlineStr">
        <is>
          <t>Installateur</t>
        </is>
      </c>
      <c r="J235" s="194" t="n"/>
      <c r="K235" s="478" t="n">
        <v>0</v>
      </c>
      <c r="L235" s="481" t="n">
        <v>0</v>
      </c>
      <c r="M235" s="480">
        <f>K235*L235</f>
        <v/>
      </c>
    </row>
    <row r="236" hidden="1" outlineLevel="2">
      <c r="A236" s="195" t="n"/>
      <c r="B236" s="219" t="n"/>
      <c r="C236" s="184" t="n"/>
      <c r="D236" s="185" t="n"/>
      <c r="E236" s="486" t="n"/>
      <c r="F236" s="477" t="n"/>
      <c r="G236" s="477" t="n"/>
      <c r="H236" s="194" t="n"/>
      <c r="I236" s="212" t="n"/>
      <c r="J236" s="194" t="n"/>
      <c r="K236" s="478" t="n"/>
      <c r="L236" s="481" t="n"/>
      <c r="M236" s="480" t="n"/>
    </row>
    <row r="237" outlineLevel="2">
      <c r="E237" s="38" t="n"/>
      <c r="F237" s="38" t="n"/>
      <c r="G237" s="482">
        <f>SUM(G216:G236)</f>
        <v/>
      </c>
      <c r="K237" s="483" t="n"/>
      <c r="M237" s="484">
        <f>SUM(M216:M236)</f>
        <v/>
      </c>
    </row>
    <row r="238" outlineLevel="1">
      <c r="E238" s="38" t="n"/>
      <c r="F238" s="38" t="n"/>
      <c r="G238" s="38" t="n"/>
      <c r="K238" s="483" t="n"/>
    </row>
    <row r="239" outlineLevel="2">
      <c r="A239" s="179" t="n">
        <v>240</v>
      </c>
      <c r="B239" s="279" t="inlineStr">
        <is>
          <t>ACCESS CONTROL &amp; SECURITY</t>
        </is>
      </c>
      <c r="C239" s="280" t="n"/>
      <c r="D239" s="280" t="n"/>
      <c r="E239" s="280" t="n"/>
      <c r="F239" s="280" t="n"/>
      <c r="G239" s="280" t="n"/>
      <c r="H239" s="281" t="n"/>
      <c r="I239" s="282" t="n"/>
      <c r="J239" s="281" t="n"/>
      <c r="K239" s="485" t="n"/>
      <c r="L239" s="410" t="n"/>
      <c r="M239" s="199" t="n"/>
    </row>
    <row r="240" outlineLevel="2" ht="25.5" customHeight="1">
      <c r="A240" s="182" t="n"/>
      <c r="B240" s="215" t="n">
        <v>1</v>
      </c>
      <c r="C240" s="206" t="inlineStr">
        <is>
          <t xml:space="preserve">Access control system (including card/tag readers), central access and 1 additional panel for SER. </t>
        </is>
      </c>
      <c r="D240" s="185" t="inlineStr">
        <is>
          <t>stelpost</t>
        </is>
      </c>
      <c r="E240" s="186">
        <f>K240</f>
        <v/>
      </c>
      <c r="F240" s="477">
        <f>CEILING(L240*$M$7,$M$8)</f>
        <v/>
      </c>
      <c r="G240" s="477">
        <f>ROUND(E240*F240,0)</f>
        <v/>
      </c>
      <c r="H240" s="188" t="n"/>
      <c r="I240" s="212" t="inlineStr">
        <is>
          <t>Beveiliging</t>
        </is>
      </c>
      <c r="J240" s="188" t="n"/>
      <c r="K240" s="478" t="n">
        <v>0</v>
      </c>
      <c r="L240" s="481" t="n">
        <v>6500</v>
      </c>
      <c r="M240" s="480">
        <f>K240*L240</f>
        <v/>
      </c>
    </row>
    <row r="241" hidden="1" outlineLevel="2">
      <c r="A241" s="182" t="n"/>
      <c r="B241" s="219" t="n">
        <v>2</v>
      </c>
      <c r="C241" s="184" t="inlineStr">
        <is>
          <t>Turnstiles, speed lanes (etc.) for the access control system. [Describe]</t>
        </is>
      </c>
      <c r="D241" s="185" t="inlineStr">
        <is>
          <t>post</t>
        </is>
      </c>
      <c r="E241" s="186">
        <f>K241</f>
        <v/>
      </c>
      <c r="F241" s="477">
        <f>CEILING(L241*$M$7,$M$8)</f>
        <v/>
      </c>
      <c r="G241" s="477">
        <f>ROUND(E241*F241,0)</f>
        <v/>
      </c>
      <c r="H241" s="188" t="n"/>
      <c r="I241" s="212" t="inlineStr">
        <is>
          <t>Beveiliging</t>
        </is>
      </c>
      <c r="J241" s="188" t="n"/>
      <c r="K241" s="478" t="n">
        <v>0</v>
      </c>
      <c r="L241" s="481" t="n">
        <v>0</v>
      </c>
      <c r="M241" s="480">
        <f>K241*L241</f>
        <v/>
      </c>
    </row>
    <row r="242" hidden="1" outlineLevel="2">
      <c r="A242" s="182" t="n"/>
      <c r="B242" s="219" t="n">
        <v>3</v>
      </c>
      <c r="C242" s="184" t="inlineStr">
        <is>
          <t>Access cards for the access control system.</t>
        </is>
      </c>
      <c r="D242" s="185" t="inlineStr">
        <is>
          <t>post</t>
        </is>
      </c>
      <c r="E242" s="186">
        <f>K242</f>
        <v/>
      </c>
      <c r="F242" s="477">
        <f>CEILING(L242*$M$7,$M$8)</f>
        <v/>
      </c>
      <c r="G242" s="477">
        <f>ROUND(E242*F242,0)</f>
        <v/>
      </c>
      <c r="H242" s="188" t="n"/>
      <c r="I242" s="212" t="inlineStr">
        <is>
          <t>Beveiliging</t>
        </is>
      </c>
      <c r="J242" s="188" t="n"/>
      <c r="K242" s="478" t="n">
        <v>0</v>
      </c>
      <c r="L242" s="481" t="n">
        <v>0</v>
      </c>
      <c r="M242" s="480">
        <f>K242*L242</f>
        <v/>
      </c>
    </row>
    <row r="243" hidden="1" outlineLevel="2" ht="26.45" customHeight="1">
      <c r="A243" s="182" t="n"/>
      <c r="B243" s="215" t="n">
        <v>4</v>
      </c>
      <c r="C243" s="184" t="inlineStr">
        <is>
          <t>Structural provisions for the access control system (including electric strike plates). [Describe]</t>
        </is>
      </c>
      <c r="D243" s="185" t="inlineStr">
        <is>
          <t>post</t>
        </is>
      </c>
      <c r="E243" s="186">
        <f>K243</f>
        <v/>
      </c>
      <c r="F243" s="477">
        <f>CEILING(L243*$M$7,$M$8)</f>
        <v/>
      </c>
      <c r="G243" s="477">
        <f>ROUND(E243*F243,0)</f>
        <v/>
      </c>
      <c r="H243" s="188" t="n"/>
      <c r="I243" s="212" t="inlineStr">
        <is>
          <t>Beveiliging</t>
        </is>
      </c>
      <c r="J243" s="188" t="n"/>
      <c r="K243" s="478" t="n">
        <v>0</v>
      </c>
      <c r="L243" s="481" t="n">
        <v>0</v>
      </c>
      <c r="M243" s="480">
        <f>K243*L243</f>
        <v/>
      </c>
    </row>
    <row r="244" hidden="1" outlineLevel="2">
      <c r="A244" s="182" t="n"/>
      <c r="B244" s="219" t="n">
        <v>5</v>
      </c>
      <c r="C244" s="184" t="inlineStr">
        <is>
          <t>Cylinder plan for internal/external doors (including keys). [Describe]</t>
        </is>
      </c>
      <c r="D244" s="185" t="inlineStr">
        <is>
          <t>post</t>
        </is>
      </c>
      <c r="E244" s="186">
        <f>K244</f>
        <v/>
      </c>
      <c r="F244" s="477">
        <f>CEILING(L244*$M$7,$M$8)</f>
        <v/>
      </c>
      <c r="G244" s="477">
        <f>ROUND(E244*F244,0)</f>
        <v/>
      </c>
      <c r="H244" s="188" t="n"/>
      <c r="I244" s="212" t="inlineStr">
        <is>
          <t>Beveiliging</t>
        </is>
      </c>
      <c r="J244" s="188" t="n"/>
      <c r="K244" s="478" t="n">
        <v>0</v>
      </c>
      <c r="L244" s="481" t="n">
        <v>0</v>
      </c>
      <c r="M244" s="480">
        <f>K244*L244</f>
        <v/>
      </c>
    </row>
    <row r="245" hidden="1" outlineLevel="2" ht="26.45" customHeight="1">
      <c r="A245" s="182" t="n"/>
      <c r="B245" s="219" t="n">
        <v>6</v>
      </c>
      <c r="C245" s="184" t="inlineStr">
        <is>
          <t>Supply and installation of a doorbell/videophone system for the entrance (including control unit installed in …. [Describe]</t>
        </is>
      </c>
      <c r="D245" s="185" t="inlineStr">
        <is>
          <t>post</t>
        </is>
      </c>
      <c r="E245" s="186">
        <f>K245</f>
        <v/>
      </c>
      <c r="F245" s="477">
        <f>CEILING(L245*$M$7,$M$8)</f>
        <v/>
      </c>
      <c r="G245" s="477">
        <f>ROUND(E245*F245,0)</f>
        <v/>
      </c>
      <c r="H245" s="188" t="n"/>
      <c r="I245" s="212" t="inlineStr">
        <is>
          <t>Beveiliging</t>
        </is>
      </c>
      <c r="J245" s="188" t="n"/>
      <c r="K245" s="478" t="n">
        <v>0</v>
      </c>
      <c r="L245" s="481" t="n">
        <v>0</v>
      </c>
      <c r="M245" s="480">
        <f>K245*L245</f>
        <v/>
      </c>
    </row>
    <row r="246" hidden="1" outlineLevel="2">
      <c r="A246" s="182" t="n"/>
      <c r="B246" s="215" t="n">
        <v>7</v>
      </c>
      <c r="C246" s="184" t="inlineStr">
        <is>
          <t>Security system in accordance with BORG Certificate Class II. [Describe]</t>
        </is>
      </c>
      <c r="D246" s="185" t="inlineStr">
        <is>
          <t>post</t>
        </is>
      </c>
      <c r="E246" s="186">
        <f>K246</f>
        <v/>
      </c>
      <c r="F246" s="477">
        <f>CEILING(L246*$M$7,$M$8)</f>
        <v/>
      </c>
      <c r="G246" s="477">
        <f>ROUND(E246*F246,0)</f>
        <v/>
      </c>
      <c r="H246" s="188" t="n"/>
      <c r="I246" s="212" t="inlineStr">
        <is>
          <t>Beveiliging</t>
        </is>
      </c>
      <c r="J246" s="188" t="n"/>
      <c r="K246" s="478" t="n">
        <v>0</v>
      </c>
      <c r="L246" s="481" t="n">
        <v>0</v>
      </c>
      <c r="M246" s="480">
        <f>K246*L246</f>
        <v/>
      </c>
    </row>
    <row r="247" hidden="1" outlineLevel="2">
      <c r="A247" s="182" t="n"/>
      <c r="B247" s="219" t="n">
        <v>8</v>
      </c>
      <c r="C247" s="184" t="inlineStr">
        <is>
          <t>Panic button. [Describe]</t>
        </is>
      </c>
      <c r="D247" s="185" t="inlineStr">
        <is>
          <t>post</t>
        </is>
      </c>
      <c r="E247" s="186">
        <f>K247</f>
        <v/>
      </c>
      <c r="F247" s="477">
        <f>CEILING(L247*$M$7,$M$8)</f>
        <v/>
      </c>
      <c r="G247" s="477">
        <f>ROUND(E247*F247,0)</f>
        <v/>
      </c>
      <c r="H247" s="188" t="n"/>
      <c r="I247" s="212" t="inlineStr">
        <is>
          <t>Beveiliging</t>
        </is>
      </c>
      <c r="J247" s="188" t="n"/>
      <c r="K247" s="478" t="n">
        <v>0</v>
      </c>
      <c r="L247" s="481" t="n">
        <v>0</v>
      </c>
      <c r="M247" s="480">
        <f>K247*L247</f>
        <v/>
      </c>
    </row>
    <row r="248" hidden="1" outlineLevel="2">
      <c r="A248" s="182" t="n"/>
      <c r="B248" s="219" t="n">
        <v>9</v>
      </c>
      <c r="C248" s="184" t="inlineStr">
        <is>
          <t>Structural provisions for the security system. [Describe]</t>
        </is>
      </c>
      <c r="D248" s="185" t="inlineStr">
        <is>
          <t>post</t>
        </is>
      </c>
      <c r="E248" s="186">
        <f>K248</f>
        <v/>
      </c>
      <c r="F248" s="477">
        <f>CEILING(L248*$M$7,$M$8)</f>
        <v/>
      </c>
      <c r="G248" s="477">
        <f>ROUND(E248*F248,0)</f>
        <v/>
      </c>
      <c r="H248" s="188" t="n"/>
      <c r="I248" s="212" t="inlineStr">
        <is>
          <t>Beveiliging</t>
        </is>
      </c>
      <c r="J248" s="188" t="n"/>
      <c r="K248" s="478" t="n">
        <v>0</v>
      </c>
      <c r="L248" s="481" t="n">
        <v>0</v>
      </c>
      <c r="M248" s="480">
        <f>K248*L248</f>
        <v/>
      </c>
    </row>
    <row r="249" hidden="1" outlineLevel="2">
      <c r="A249" s="182" t="n"/>
      <c r="B249" s="215" t="n">
        <v>10</v>
      </c>
      <c r="C249" s="184" t="inlineStr">
        <is>
          <t>CCTV system (including recording equipment, etc.). [Describe]</t>
        </is>
      </c>
      <c r="D249" s="185" t="inlineStr">
        <is>
          <t>post</t>
        </is>
      </c>
      <c r="E249" s="186">
        <f>K249</f>
        <v/>
      </c>
      <c r="F249" s="477">
        <f>CEILING(L249*$M$7,$M$8)</f>
        <v/>
      </c>
      <c r="G249" s="477">
        <f>ROUND(E249*F249,0)</f>
        <v/>
      </c>
      <c r="H249" s="188" t="n"/>
      <c r="I249" s="212" t="inlineStr">
        <is>
          <t>Beveiliging</t>
        </is>
      </c>
      <c r="J249" s="188" t="n"/>
      <c r="K249" s="478" t="n">
        <v>0</v>
      </c>
      <c r="L249" s="481" t="n">
        <v>0</v>
      </c>
      <c r="M249" s="480">
        <f>K249*L249</f>
        <v/>
      </c>
    </row>
    <row r="250" hidden="1" outlineLevel="2">
      <c r="A250" s="182" t="n"/>
      <c r="B250" s="183" t="n">
        <v>11</v>
      </c>
      <c r="C250" s="184" t="n"/>
      <c r="D250" s="185" t="inlineStr">
        <is>
          <t>post</t>
        </is>
      </c>
      <c r="E250" s="186">
        <f>K250</f>
        <v/>
      </c>
      <c r="F250" s="477">
        <f>CEILING(L250*$M$7,$M$8)</f>
        <v/>
      </c>
      <c r="G250" s="477">
        <f>ROUND(E250*F250,0)</f>
        <v/>
      </c>
      <c r="H250" s="194" t="n"/>
      <c r="I250" s="212" t="inlineStr">
        <is>
          <t>Beveiliging</t>
        </is>
      </c>
      <c r="J250" s="194" t="n"/>
      <c r="K250" s="478" t="n">
        <v>0</v>
      </c>
      <c r="L250" s="481" t="n">
        <v>0</v>
      </c>
      <c r="M250" s="480">
        <f>K250*L250</f>
        <v/>
      </c>
    </row>
    <row r="251" hidden="1" outlineLevel="2">
      <c r="A251" s="182" t="n"/>
      <c r="B251" s="183" t="n">
        <v>12</v>
      </c>
      <c r="C251" s="184" t="n"/>
      <c r="D251" s="185" t="inlineStr">
        <is>
          <t>post</t>
        </is>
      </c>
      <c r="E251" s="186">
        <f>K251</f>
        <v/>
      </c>
      <c r="F251" s="477">
        <f>CEILING(L251*$M$7,$M$8)</f>
        <v/>
      </c>
      <c r="G251" s="477">
        <f>ROUND(E251*F251,0)</f>
        <v/>
      </c>
      <c r="H251" s="194" t="n"/>
      <c r="I251" s="212" t="inlineStr">
        <is>
          <t>Beveiliging</t>
        </is>
      </c>
      <c r="J251" s="194" t="n"/>
      <c r="K251" s="478" t="n">
        <v>0</v>
      </c>
      <c r="L251" s="481" t="n">
        <v>0</v>
      </c>
      <c r="M251" s="480">
        <f>K251*L251</f>
        <v/>
      </c>
    </row>
    <row r="252" hidden="1" outlineLevel="2">
      <c r="A252" s="182" t="n"/>
      <c r="B252" s="183" t="n">
        <v>13</v>
      </c>
      <c r="C252" s="184" t="n"/>
      <c r="D252" s="185" t="inlineStr">
        <is>
          <t>post</t>
        </is>
      </c>
      <c r="E252" s="186">
        <f>K252</f>
        <v/>
      </c>
      <c r="F252" s="477">
        <f>CEILING(L252*$M$7,$M$8)</f>
        <v/>
      </c>
      <c r="G252" s="477">
        <f>ROUND(E252*F252,0)</f>
        <v/>
      </c>
      <c r="H252" s="194" t="n"/>
      <c r="I252" s="212" t="inlineStr">
        <is>
          <t>Beveiliging</t>
        </is>
      </c>
      <c r="J252" s="194" t="n"/>
      <c r="K252" s="478" t="n">
        <v>0</v>
      </c>
      <c r="L252" s="481" t="n">
        <v>0</v>
      </c>
      <c r="M252" s="480">
        <f>K252*L252</f>
        <v/>
      </c>
    </row>
    <row r="253" hidden="1" outlineLevel="2">
      <c r="A253" s="182" t="n"/>
      <c r="B253" s="183" t="n">
        <v>14</v>
      </c>
      <c r="C253" s="184" t="n"/>
      <c r="D253" s="185" t="inlineStr">
        <is>
          <t>post</t>
        </is>
      </c>
      <c r="E253" s="186">
        <f>K253</f>
        <v/>
      </c>
      <c r="F253" s="477">
        <f>CEILING(L253*$M$7,$M$8)</f>
        <v/>
      </c>
      <c r="G253" s="477">
        <f>ROUND(E253*F253,0)</f>
        <v/>
      </c>
      <c r="H253" s="194" t="n"/>
      <c r="I253" s="212" t="inlineStr">
        <is>
          <t>Beveiliging</t>
        </is>
      </c>
      <c r="J253" s="194" t="n"/>
      <c r="K253" s="478" t="n">
        <v>0</v>
      </c>
      <c r="L253" s="481" t="n">
        <v>0</v>
      </c>
      <c r="M253" s="480">
        <f>K253*L253</f>
        <v/>
      </c>
    </row>
    <row r="254" hidden="1" outlineLevel="2">
      <c r="A254" s="182" t="n"/>
      <c r="B254" s="183" t="n">
        <v>15</v>
      </c>
      <c r="C254" s="184" t="n"/>
      <c r="D254" s="185" t="inlineStr">
        <is>
          <t>post</t>
        </is>
      </c>
      <c r="E254" s="186">
        <f>K254</f>
        <v/>
      </c>
      <c r="F254" s="477">
        <f>CEILING(L254*$M$7,$M$8)</f>
        <v/>
      </c>
      <c r="G254" s="477">
        <f>ROUND(E254*F254,0)</f>
        <v/>
      </c>
      <c r="H254" s="194" t="n"/>
      <c r="I254" s="212" t="inlineStr">
        <is>
          <t>Beveiliging</t>
        </is>
      </c>
      <c r="J254" s="194" t="n"/>
      <c r="K254" s="478" t="n">
        <v>0</v>
      </c>
      <c r="L254" s="481" t="n">
        <v>0</v>
      </c>
      <c r="M254" s="480">
        <f>K254*L254</f>
        <v/>
      </c>
    </row>
    <row r="255" hidden="1" outlineLevel="2">
      <c r="A255" s="182" t="n"/>
      <c r="B255" s="183" t="n">
        <v>16</v>
      </c>
      <c r="C255" s="184" t="n"/>
      <c r="D255" s="185" t="inlineStr">
        <is>
          <t>post</t>
        </is>
      </c>
      <c r="E255" s="186">
        <f>K255</f>
        <v/>
      </c>
      <c r="F255" s="477">
        <f>CEILING(L255*$M$7,$M$8)</f>
        <v/>
      </c>
      <c r="G255" s="477">
        <f>ROUND(E255*F255,0)</f>
        <v/>
      </c>
      <c r="H255" s="194" t="n"/>
      <c r="I255" s="212" t="inlineStr">
        <is>
          <t>Beveiliging</t>
        </is>
      </c>
      <c r="J255" s="194" t="n"/>
      <c r="K255" s="478" t="n">
        <v>0</v>
      </c>
      <c r="L255" s="481" t="n">
        <v>0</v>
      </c>
      <c r="M255" s="480">
        <f>K255*L255</f>
        <v/>
      </c>
    </row>
    <row r="256" hidden="1" outlineLevel="2">
      <c r="A256" s="195" t="n"/>
      <c r="B256" s="215" t="n"/>
      <c r="C256" s="184" t="n"/>
      <c r="D256" s="185" t="n"/>
      <c r="E256" s="486" t="n"/>
      <c r="F256" s="477" t="n"/>
      <c r="G256" s="477" t="n"/>
      <c r="H256" s="188" t="n"/>
      <c r="I256" s="212" t="n"/>
      <c r="J256" s="188" t="n"/>
      <c r="K256" s="478" t="n"/>
      <c r="L256" s="481" t="n"/>
      <c r="M256" s="480" t="n"/>
    </row>
    <row r="257" outlineLevel="2">
      <c r="E257" s="38" t="n"/>
      <c r="F257" s="38" t="n"/>
      <c r="G257" s="482">
        <f>SUM(G240:G256)</f>
        <v/>
      </c>
      <c r="K257" s="483" t="n"/>
      <c r="M257" s="484">
        <f>SUM(M240:M256)</f>
        <v/>
      </c>
    </row>
    <row r="258" outlineLevel="1">
      <c r="E258" s="38" t="n"/>
      <c r="F258" s="38" t="n"/>
      <c r="G258" s="38" t="n"/>
      <c r="K258" s="483" t="n"/>
    </row>
    <row r="259" outlineLevel="2">
      <c r="A259" s="179" t="n">
        <v>250</v>
      </c>
      <c r="B259" s="279" t="inlineStr">
        <is>
          <t>IT INSTALLATION (Data cabling / Fitting out of MER and SER rooms)</t>
        </is>
      </c>
      <c r="C259" s="280" t="n"/>
      <c r="D259" s="280" t="n"/>
      <c r="E259" s="280" t="n"/>
      <c r="F259" s="280" t="n"/>
      <c r="G259" s="280" t="n"/>
      <c r="H259" s="281" t="n"/>
      <c r="I259" s="282" t="n"/>
      <c r="J259" s="281" t="n"/>
      <c r="K259" s="485" t="n"/>
      <c r="L259" s="410" t="n"/>
      <c r="M259" s="199" t="n"/>
    </row>
    <row r="260" outlineLevel="2" ht="26.45" customHeight="1">
      <c r="A260" s="182" t="n"/>
      <c r="B260" s="215" t="n">
        <v>1</v>
      </c>
      <c r="C260" s="206" t="inlineStr">
        <is>
          <t xml:space="preserve">IT – Installation for workstations, focus space, meeting rooms, AV, reception, narrowcasting, printers, wifi access points. </t>
        </is>
      </c>
      <c r="D260" s="185" t="inlineStr">
        <is>
          <t>stelpost</t>
        </is>
      </c>
      <c r="E260" s="186">
        <f>K260</f>
        <v/>
      </c>
      <c r="F260" s="477">
        <f>CEILING(L260*$M$7,$M$8)</f>
        <v/>
      </c>
      <c r="G260" s="477">
        <f>ROUND(E260*F260,0)</f>
        <v/>
      </c>
      <c r="H260" s="188" t="n"/>
      <c r="I260" s="212" t="inlineStr">
        <is>
          <t>IT installateur</t>
        </is>
      </c>
      <c r="J260" s="188" t="n"/>
      <c r="K260" s="478" t="n">
        <v>0</v>
      </c>
      <c r="L260" s="481" t="n">
        <v>186.58</v>
      </c>
      <c r="M260" s="480">
        <f>K260*L260</f>
        <v/>
      </c>
    </row>
    <row r="261" outlineLevel="2">
      <c r="A261" s="182" t="n"/>
      <c r="B261" s="219" t="n">
        <v>2</v>
      </c>
      <c r="C261" s="184" t="inlineStr">
        <is>
          <t xml:space="preserve">Floor boxes, provsional sum. Amounts t.b.d. </t>
        </is>
      </c>
      <c r="D261" s="185" t="inlineStr">
        <is>
          <t>stelpost</t>
        </is>
      </c>
      <c r="E261" s="186">
        <f>K261</f>
        <v/>
      </c>
      <c r="F261" s="477">
        <f>CEILING(L261*$M$7,$M$8)</f>
        <v/>
      </c>
      <c r="G261" s="477">
        <f>ROUND(E261*F261,0)</f>
        <v/>
      </c>
      <c r="H261" s="188" t="n"/>
      <c r="I261" s="212" t="inlineStr">
        <is>
          <t>IT installateur</t>
        </is>
      </c>
      <c r="J261" s="188" t="n"/>
      <c r="K261" s="478" t="n">
        <v>0</v>
      </c>
      <c r="L261" s="481" t="n">
        <v>3000</v>
      </c>
      <c r="M261" s="480">
        <f>K261*L261</f>
        <v/>
      </c>
    </row>
    <row r="262" outlineLevel="2">
      <c r="A262" s="182" t="n"/>
      <c r="B262" s="219" t="n">
        <v>3</v>
      </c>
      <c r="C262" s="184" t="inlineStr">
        <is>
          <t xml:space="preserve">Fitting out of MER/SER rooms (excluding active equipment). </t>
        </is>
      </c>
      <c r="D262" s="185" t="inlineStr">
        <is>
          <t>stelpost</t>
        </is>
      </c>
      <c r="E262" s="186">
        <f>K262</f>
        <v/>
      </c>
      <c r="F262" s="477">
        <f>CEILING(L262*$M$7,$M$8)</f>
        <v/>
      </c>
      <c r="G262" s="477">
        <f>ROUND(E262*F262,0)</f>
        <v/>
      </c>
      <c r="H262" s="188" t="n"/>
      <c r="I262" s="212" t="inlineStr">
        <is>
          <t>IT installateur</t>
        </is>
      </c>
      <c r="J262" s="188" t="n"/>
      <c r="K262" s="478" t="n">
        <v>0</v>
      </c>
      <c r="L262" s="481" t="n">
        <v>2900</v>
      </c>
      <c r="M262" s="480">
        <f>K262*L262</f>
        <v/>
      </c>
    </row>
    <row r="263" outlineLevel="2">
      <c r="A263" s="182" t="n"/>
      <c r="B263" s="215" t="n">
        <v>4</v>
      </c>
      <c r="C263" s="184" t="inlineStr">
        <is>
          <t xml:space="preserve">Emergency power generator. </t>
        </is>
      </c>
      <c r="D263" s="185" t="inlineStr">
        <is>
          <t>post</t>
        </is>
      </c>
      <c r="E263" s="186">
        <f>K263</f>
        <v/>
      </c>
      <c r="F263" s="477">
        <f>CEILING(L263*$M$7,$M$8)</f>
        <v/>
      </c>
      <c r="G263" s="477">
        <f>ROUND(E263*F263,0)</f>
        <v/>
      </c>
      <c r="H263" s="188" t="n"/>
      <c r="I263" s="212" t="inlineStr">
        <is>
          <t>IT installateur</t>
        </is>
      </c>
      <c r="J263" s="188" t="n"/>
      <c r="K263" s="478" t="n">
        <v>0</v>
      </c>
      <c r="L263" s="481" t="n">
        <v>1000</v>
      </c>
      <c r="M263" s="480">
        <f>K263*L263</f>
        <v/>
      </c>
    </row>
    <row r="264" outlineLevel="2">
      <c r="A264" s="182" t="n"/>
      <c r="B264" s="219" t="n">
        <v>5</v>
      </c>
      <c r="C264" s="184" t="inlineStr">
        <is>
          <t>SER/MER shelving</t>
        </is>
      </c>
      <c r="D264" s="185" t="inlineStr">
        <is>
          <t>post</t>
        </is>
      </c>
      <c r="E264" s="186">
        <f>K264</f>
        <v/>
      </c>
      <c r="F264" s="477">
        <f>CEILING(L264*$M$7,$M$8)</f>
        <v/>
      </c>
      <c r="G264" s="477">
        <f>ROUND(E264*F264,0)</f>
        <v/>
      </c>
      <c r="H264" s="188" t="n"/>
      <c r="I264" s="212" t="inlineStr">
        <is>
          <t>IT installateur</t>
        </is>
      </c>
      <c r="J264" s="188" t="n"/>
      <c r="K264" s="478" t="n">
        <v>0</v>
      </c>
      <c r="L264" s="481" t="n">
        <v>200</v>
      </c>
      <c r="M264" s="480">
        <f>K264*L264</f>
        <v/>
      </c>
    </row>
    <row r="265" hidden="1" outlineLevel="2">
      <c r="A265" s="182" t="n"/>
      <c r="B265" s="219" t="n">
        <v>6</v>
      </c>
      <c r="C265" s="184" t="inlineStr">
        <is>
          <t>Server room ceiling. [Describe]</t>
        </is>
      </c>
      <c r="D265" s="185" t="inlineStr">
        <is>
          <t>post</t>
        </is>
      </c>
      <c r="E265" s="186">
        <f>K265</f>
        <v/>
      </c>
      <c r="F265" s="477">
        <f>CEILING(L265*$M$7,$M$8)</f>
        <v/>
      </c>
      <c r="G265" s="477">
        <f>ROUND(E265*F265,0)</f>
        <v/>
      </c>
      <c r="H265" s="188" t="n"/>
      <c r="I265" s="212" t="inlineStr">
        <is>
          <t>IT installateur</t>
        </is>
      </c>
      <c r="J265" s="188" t="n"/>
      <c r="K265" s="478" t="n">
        <v>0</v>
      </c>
      <c r="L265" s="481" t="n">
        <v>0</v>
      </c>
      <c r="M265" s="480">
        <f>K265*L265</f>
        <v/>
      </c>
    </row>
    <row r="266" hidden="1" outlineLevel="2">
      <c r="A266" s="182" t="n"/>
      <c r="B266" s="215" t="n">
        <v>7</v>
      </c>
      <c r="C266" s="184" t="inlineStr">
        <is>
          <t>MER/SER room lighting.</t>
        </is>
      </c>
      <c r="D266" s="185" t="inlineStr">
        <is>
          <t>post</t>
        </is>
      </c>
      <c r="E266" s="186">
        <f>K266</f>
        <v/>
      </c>
      <c r="F266" s="477">
        <f>CEILING(L266*$M$7,$M$8)</f>
        <v/>
      </c>
      <c r="G266" s="477">
        <f>ROUND(E266*F266,0)</f>
        <v/>
      </c>
      <c r="H266" s="188" t="n"/>
      <c r="I266" s="212" t="inlineStr">
        <is>
          <t>IT installateur</t>
        </is>
      </c>
      <c r="J266" s="188" t="n"/>
      <c r="K266" s="478" t="n">
        <v>0</v>
      </c>
      <c r="L266" s="481" t="n">
        <v>0</v>
      </c>
      <c r="M266" s="480">
        <f>K266*L266</f>
        <v/>
      </c>
    </row>
    <row r="267" hidden="1" outlineLevel="2" ht="24.95" customHeight="1">
      <c r="A267" s="182" t="n"/>
      <c r="B267" s="219" t="n">
        <v>8</v>
      </c>
      <c r="C267" s="184" t="inlineStr">
        <is>
          <t>Gas extinguishing system (including overpressure grille and provisions for overpressure). [Describe]</t>
        </is>
      </c>
      <c r="D267" s="185" t="inlineStr">
        <is>
          <t>post</t>
        </is>
      </c>
      <c r="E267" s="186">
        <f>K267</f>
        <v/>
      </c>
      <c r="F267" s="477">
        <f>CEILING(L267*$M$7,$M$8)</f>
        <v/>
      </c>
      <c r="G267" s="477">
        <f>ROUND(E267*F267,0)</f>
        <v/>
      </c>
      <c r="H267" s="188" t="n"/>
      <c r="I267" s="212" t="inlineStr">
        <is>
          <t>IT installateur</t>
        </is>
      </c>
      <c r="J267" s="188" t="n"/>
      <c r="K267" s="478" t="n">
        <v>0</v>
      </c>
      <c r="L267" s="481" t="n">
        <v>0</v>
      </c>
      <c r="M267" s="480">
        <f>K267*L267</f>
        <v/>
      </c>
    </row>
    <row r="268" hidden="1" outlineLevel="2">
      <c r="A268" s="182" t="n"/>
      <c r="B268" s="219" t="n">
        <v>9</v>
      </c>
      <c r="C268" s="184" t="inlineStr">
        <is>
          <t>Aspiration system. [Description]</t>
        </is>
      </c>
      <c r="D268" s="185" t="inlineStr">
        <is>
          <t>post</t>
        </is>
      </c>
      <c r="E268" s="186">
        <f>K268</f>
        <v/>
      </c>
      <c r="F268" s="477">
        <f>CEILING(L268*$M$7,$M$8)</f>
        <v/>
      </c>
      <c r="G268" s="477">
        <f>ROUND(E268*F268,0)</f>
        <v/>
      </c>
      <c r="H268" s="188" t="n"/>
      <c r="I268" s="212" t="inlineStr">
        <is>
          <t>IT installateur</t>
        </is>
      </c>
      <c r="J268" s="188" t="n"/>
      <c r="K268" s="478" t="n">
        <v>0</v>
      </c>
      <c r="L268" s="481" t="n">
        <v>0</v>
      </c>
      <c r="M268" s="480">
        <f>K268*L268</f>
        <v/>
      </c>
    </row>
    <row r="269" hidden="1" outlineLevel="2">
      <c r="A269" s="182" t="n"/>
      <c r="B269" s="215" t="n">
        <v>10</v>
      </c>
      <c r="C269" s="184" t="inlineStr">
        <is>
          <t>UPS. [Description]</t>
        </is>
      </c>
      <c r="D269" s="185" t="inlineStr">
        <is>
          <t>post</t>
        </is>
      </c>
      <c r="E269" s="186">
        <f>K269</f>
        <v/>
      </c>
      <c r="F269" s="477">
        <f>CEILING(L269*$M$7,$M$8)</f>
        <v/>
      </c>
      <c r="G269" s="477">
        <f>ROUND(E269*F269,0)</f>
        <v/>
      </c>
      <c r="H269" s="188" t="n"/>
      <c r="I269" s="212" t="inlineStr">
        <is>
          <t>IT installateur</t>
        </is>
      </c>
      <c r="J269" s="188" t="n"/>
      <c r="K269" s="478" t="n">
        <v>0</v>
      </c>
      <c r="L269" s="481" t="n">
        <v>0</v>
      </c>
      <c r="M269" s="480">
        <f>K269*L269</f>
        <v/>
      </c>
    </row>
    <row r="270" hidden="1" outlineLevel="2">
      <c r="A270" s="182" t="n"/>
      <c r="B270" s="219" t="n">
        <v>11</v>
      </c>
      <c r="C270" s="184" t="inlineStr">
        <is>
          <t>Emergency power generator. [Description]</t>
        </is>
      </c>
      <c r="D270" s="185" t="inlineStr">
        <is>
          <t>post</t>
        </is>
      </c>
      <c r="E270" s="186">
        <f>K270</f>
        <v/>
      </c>
      <c r="F270" s="477">
        <f>CEILING(L270*$M$7,$M$8)</f>
        <v/>
      </c>
      <c r="G270" s="477">
        <f>ROUND(E270*F270,0)</f>
        <v/>
      </c>
      <c r="H270" s="188" t="n"/>
      <c r="I270" s="212" t="inlineStr">
        <is>
          <t>IT installateur</t>
        </is>
      </c>
      <c r="J270" s="188" t="n"/>
      <c r="K270" s="478" t="n">
        <v>0</v>
      </c>
      <c r="L270" s="481" t="n">
        <v>0</v>
      </c>
      <c r="M270" s="480">
        <f>K270*L270</f>
        <v/>
      </c>
    </row>
    <row r="271" hidden="1" outlineLevel="2">
      <c r="A271" s="182" t="n"/>
      <c r="B271" s="219" t="n">
        <v>12</v>
      </c>
      <c r="C271" s="184" t="inlineStr">
        <is>
          <t>Internal fibre-optic connection (MER / SER etc.). [Description]</t>
        </is>
      </c>
      <c r="D271" s="185" t="inlineStr">
        <is>
          <t>post</t>
        </is>
      </c>
      <c r="E271" s="186">
        <f>K271</f>
        <v/>
      </c>
      <c r="F271" s="477">
        <f>CEILING(L271*$M$7,$M$8)</f>
        <v/>
      </c>
      <c r="G271" s="477">
        <f>ROUND(E271*F271,0)</f>
        <v/>
      </c>
      <c r="H271" s="188" t="n"/>
      <c r="I271" s="212" t="inlineStr">
        <is>
          <t>IT installateur</t>
        </is>
      </c>
      <c r="J271" s="188" t="n"/>
      <c r="K271" s="478" t="n">
        <v>0</v>
      </c>
      <c r="L271" s="481" t="n">
        <v>0</v>
      </c>
      <c r="M271" s="480">
        <f>K271*L271</f>
        <v/>
      </c>
    </row>
    <row r="272" hidden="1" outlineLevel="2">
      <c r="A272" s="182" t="n"/>
      <c r="B272" s="215" t="n">
        <v>13</v>
      </c>
      <c r="C272" s="184" t="inlineStr">
        <is>
          <t>External fibre-optic connection via third parties. [=PM Item]</t>
        </is>
      </c>
      <c r="D272" s="185" t="inlineStr">
        <is>
          <t>post</t>
        </is>
      </c>
      <c r="E272" s="186">
        <f>K272</f>
        <v/>
      </c>
      <c r="F272" s="477">
        <f>CEILING(L272*$M$7,$M$8)</f>
        <v/>
      </c>
      <c r="G272" s="477">
        <f>ROUND(E272*F272,0)</f>
        <v/>
      </c>
      <c r="H272" s="188" t="n"/>
      <c r="I272" s="212" t="inlineStr">
        <is>
          <t>IT installateur</t>
        </is>
      </c>
      <c r="J272" s="188" t="n"/>
      <c r="K272" s="478" t="n">
        <v>0</v>
      </c>
      <c r="L272" s="481" t="n">
        <v>0</v>
      </c>
      <c r="M272" s="480">
        <f>K272*L272</f>
        <v/>
      </c>
    </row>
    <row r="273" hidden="1" outlineLevel="2">
      <c r="A273" s="182" t="n"/>
      <c r="B273" s="183" t="n">
        <v>14</v>
      </c>
      <c r="C273" s="184" t="n"/>
      <c r="D273" s="185" t="inlineStr">
        <is>
          <t>post</t>
        </is>
      </c>
      <c r="E273" s="186">
        <f>K273</f>
        <v/>
      </c>
      <c r="F273" s="477">
        <f>CEILING(L273*$M$7,$M$8)</f>
        <v/>
      </c>
      <c r="G273" s="477">
        <f>ROUND(E273*F273,0)</f>
        <v/>
      </c>
      <c r="H273" s="194" t="n"/>
      <c r="I273" s="212" t="inlineStr">
        <is>
          <t>IT installateur</t>
        </is>
      </c>
      <c r="J273" s="194" t="n"/>
      <c r="K273" s="478" t="n">
        <v>0</v>
      </c>
      <c r="L273" s="481" t="n">
        <v>0</v>
      </c>
      <c r="M273" s="480">
        <f>K273*L273</f>
        <v/>
      </c>
    </row>
    <row r="274" hidden="1" outlineLevel="2">
      <c r="A274" s="182" t="n"/>
      <c r="B274" s="183" t="n">
        <v>15</v>
      </c>
      <c r="C274" s="184" t="n"/>
      <c r="D274" s="185" t="inlineStr">
        <is>
          <t>post</t>
        </is>
      </c>
      <c r="E274" s="186">
        <f>K274</f>
        <v/>
      </c>
      <c r="F274" s="477">
        <f>CEILING(L274*$M$7,$M$8)</f>
        <v/>
      </c>
      <c r="G274" s="477">
        <f>ROUND(E274*F274,0)</f>
        <v/>
      </c>
      <c r="H274" s="194" t="n"/>
      <c r="I274" s="212" t="inlineStr">
        <is>
          <t>IT installateur</t>
        </is>
      </c>
      <c r="J274" s="194" t="n"/>
      <c r="K274" s="478" t="n">
        <v>0</v>
      </c>
      <c r="L274" s="481" t="n">
        <v>0</v>
      </c>
      <c r="M274" s="480">
        <f>K274*L274</f>
        <v/>
      </c>
    </row>
    <row r="275" hidden="1" outlineLevel="2">
      <c r="A275" s="182" t="n"/>
      <c r="B275" s="183" t="n">
        <v>16</v>
      </c>
      <c r="C275" s="184" t="n"/>
      <c r="D275" s="185" t="inlineStr">
        <is>
          <t>post</t>
        </is>
      </c>
      <c r="E275" s="186">
        <f>K275</f>
        <v/>
      </c>
      <c r="F275" s="477">
        <f>CEILING(L275*$M$7,$M$8)</f>
        <v/>
      </c>
      <c r="G275" s="477">
        <f>ROUND(E275*F275,0)</f>
        <v/>
      </c>
      <c r="H275" s="194" t="n"/>
      <c r="I275" s="212" t="inlineStr">
        <is>
          <t>IT installateur</t>
        </is>
      </c>
      <c r="J275" s="194" t="n"/>
      <c r="K275" s="478" t="n">
        <v>0</v>
      </c>
      <c r="L275" s="481" t="n">
        <v>0</v>
      </c>
      <c r="M275" s="480">
        <f>K275*L275</f>
        <v/>
      </c>
    </row>
    <row r="276" hidden="1" outlineLevel="2">
      <c r="A276" s="182" t="n"/>
      <c r="B276" s="183" t="n">
        <v>17</v>
      </c>
      <c r="C276" s="184" t="n"/>
      <c r="D276" s="185" t="inlineStr">
        <is>
          <t>post</t>
        </is>
      </c>
      <c r="E276" s="186">
        <f>K276</f>
        <v/>
      </c>
      <c r="F276" s="477">
        <f>CEILING(L276*$M$7,$M$8)</f>
        <v/>
      </c>
      <c r="G276" s="477">
        <f>ROUND(E276*F276,0)</f>
        <v/>
      </c>
      <c r="H276" s="194" t="n"/>
      <c r="I276" s="212" t="inlineStr">
        <is>
          <t>IT installateur</t>
        </is>
      </c>
      <c r="J276" s="194" t="n"/>
      <c r="K276" s="478" t="n">
        <v>0</v>
      </c>
      <c r="L276" s="481" t="n">
        <v>0</v>
      </c>
      <c r="M276" s="480">
        <f>K276*L276</f>
        <v/>
      </c>
    </row>
    <row r="277" hidden="1" outlineLevel="2">
      <c r="A277" s="182" t="n"/>
      <c r="B277" s="183" t="n">
        <v>18</v>
      </c>
      <c r="C277" s="184" t="n"/>
      <c r="D277" s="185" t="inlineStr">
        <is>
          <t>post</t>
        </is>
      </c>
      <c r="E277" s="186">
        <f>K277</f>
        <v/>
      </c>
      <c r="F277" s="477">
        <f>CEILING(L277*$M$7,$M$8)</f>
        <v/>
      </c>
      <c r="G277" s="477">
        <f>ROUND(E277*F277,0)</f>
        <v/>
      </c>
      <c r="H277" s="194" t="n"/>
      <c r="I277" s="212" t="inlineStr">
        <is>
          <t>IT installateur</t>
        </is>
      </c>
      <c r="J277" s="194" t="n"/>
      <c r="K277" s="478" t="n">
        <v>0</v>
      </c>
      <c r="L277" s="481" t="n">
        <v>0</v>
      </c>
      <c r="M277" s="480">
        <f>K277*L277</f>
        <v/>
      </c>
    </row>
    <row r="278" hidden="1" outlineLevel="2">
      <c r="A278" s="182" t="n"/>
      <c r="B278" s="183" t="n">
        <v>19</v>
      </c>
      <c r="C278" s="184" t="n"/>
      <c r="D278" s="185" t="inlineStr">
        <is>
          <t>post</t>
        </is>
      </c>
      <c r="E278" s="186">
        <f>K278</f>
        <v/>
      </c>
      <c r="F278" s="477">
        <f>CEILING(L278*$M$7,$M$8)</f>
        <v/>
      </c>
      <c r="G278" s="477">
        <f>ROUND(E278*F278,0)</f>
        <v/>
      </c>
      <c r="H278" s="194" t="n"/>
      <c r="I278" s="212" t="inlineStr">
        <is>
          <t>IT installateur</t>
        </is>
      </c>
      <c r="J278" s="194" t="n"/>
      <c r="K278" s="478" t="n">
        <v>0</v>
      </c>
      <c r="L278" s="481" t="n">
        <v>0</v>
      </c>
      <c r="M278" s="480">
        <f>K278*L278</f>
        <v/>
      </c>
    </row>
    <row r="279" hidden="1" outlineLevel="2">
      <c r="A279" s="195" t="n"/>
      <c r="B279" s="215" t="n"/>
      <c r="C279" s="184" t="n"/>
      <c r="D279" s="185" t="n"/>
      <c r="E279" s="486" t="n"/>
      <c r="F279" s="477" t="n"/>
      <c r="G279" s="477" t="n"/>
      <c r="H279" s="188" t="n"/>
      <c r="I279" s="212" t="n"/>
      <c r="J279" s="188" t="n"/>
      <c r="K279" s="478" t="n"/>
      <c r="L279" s="481" t="n"/>
      <c r="M279" s="480" t="n"/>
    </row>
    <row r="280" outlineLevel="2">
      <c r="E280" s="38" t="n"/>
      <c r="F280" s="38" t="n"/>
      <c r="G280" s="482">
        <f>SUM(G260:G279)</f>
        <v/>
      </c>
      <c r="K280" s="483" t="n"/>
      <c r="M280" s="484">
        <f>SUM(M260:M279)</f>
        <v/>
      </c>
    </row>
    <row r="281" outlineLevel="1">
      <c r="E281" s="38" t="n"/>
      <c r="F281" s="38" t="n"/>
      <c r="G281" s="38" t="n"/>
      <c r="K281" s="483" t="n"/>
    </row>
    <row r="282" outlineLevel="2">
      <c r="A282" s="179" t="n">
        <v>260</v>
      </c>
      <c r="B282" s="279" t="inlineStr">
        <is>
          <t>FIRE SAFETY</t>
        </is>
      </c>
      <c r="C282" s="280" t="n"/>
      <c r="D282" s="280" t="n"/>
      <c r="E282" s="280" t="n"/>
      <c r="F282" s="280" t="n"/>
      <c r="G282" s="280" t="n"/>
      <c r="H282" s="281" t="n"/>
      <c r="I282" s="282" t="n"/>
      <c r="J282" s="281" t="n"/>
      <c r="K282" s="485" t="n"/>
      <c r="L282" s="410" t="n"/>
      <c r="M282" s="199" t="n"/>
    </row>
    <row r="283" outlineLevel="2">
      <c r="A283" s="182" t="n"/>
      <c r="B283" s="215" t="n">
        <v>1</v>
      </c>
      <c r="C283" s="206" t="inlineStr">
        <is>
          <t>Changes to fire alarm system, including lighting, slow whoops and smoke detectors.</t>
        </is>
      </c>
      <c r="D283" s="185" t="inlineStr">
        <is>
          <t>stelpost</t>
        </is>
      </c>
      <c r="E283" s="186">
        <f>K283</f>
        <v/>
      </c>
      <c r="F283" s="477">
        <f>CEILING(L283*$M$7,$M$8)</f>
        <v/>
      </c>
      <c r="G283" s="477">
        <f>ROUND(E283*F283,0)</f>
        <v/>
      </c>
      <c r="H283" s="188" t="n"/>
      <c r="I283" s="189" t="inlineStr">
        <is>
          <t>Brandveiligheid</t>
        </is>
      </c>
      <c r="J283" s="188" t="n"/>
      <c r="K283" s="478" t="n">
        <v>0</v>
      </c>
      <c r="L283" s="481" t="n">
        <v>12000</v>
      </c>
      <c r="M283" s="480">
        <f>K283*L283</f>
        <v/>
      </c>
    </row>
    <row r="284" outlineLevel="2">
      <c r="A284" s="182" t="n"/>
      <c r="B284" s="219" t="n">
        <v>2</v>
      </c>
      <c r="C284" s="184" t="inlineStr">
        <is>
          <t>Escape route plans.</t>
        </is>
      </c>
      <c r="D284" s="185" t="inlineStr">
        <is>
          <t>stelpost</t>
        </is>
      </c>
      <c r="E284" s="186">
        <f>K284</f>
        <v/>
      </c>
      <c r="F284" s="477">
        <f>CEILING(L284*$M$7,$M$8)</f>
        <v/>
      </c>
      <c r="G284" s="477">
        <f>ROUND(E284*F284,0)</f>
        <v/>
      </c>
      <c r="H284" s="188" t="n"/>
      <c r="I284" s="189" t="inlineStr">
        <is>
          <t>Brandveiligheid</t>
        </is>
      </c>
      <c r="J284" s="188" t="n"/>
      <c r="K284" s="478" t="n">
        <v>0</v>
      </c>
      <c r="L284" s="481" t="n">
        <v>1000</v>
      </c>
      <c r="M284" s="480">
        <f>K284*L284</f>
        <v/>
      </c>
    </row>
    <row r="285" hidden="1" outlineLevel="2">
      <c r="A285" s="182" t="n"/>
      <c r="B285" s="219" t="n">
        <v>3</v>
      </c>
      <c r="C285" s="184" t="inlineStr">
        <is>
          <t>Fire-resistant sealing of openings. [Describe]</t>
        </is>
      </c>
      <c r="D285" s="185" t="inlineStr">
        <is>
          <t>post</t>
        </is>
      </c>
      <c r="E285" s="186">
        <f>K285</f>
        <v/>
      </c>
      <c r="F285" s="477">
        <f>CEILING(L285*$M$7,$M$8)</f>
        <v/>
      </c>
      <c r="G285" s="477">
        <f>ROUND(E285*F285,0)</f>
        <v/>
      </c>
      <c r="H285" s="188" t="n"/>
      <c r="I285" s="189" t="inlineStr">
        <is>
          <t>Brandveiligheid</t>
        </is>
      </c>
      <c r="J285" s="188" t="n"/>
      <c r="K285" s="478" t="n">
        <v>0</v>
      </c>
      <c r="L285" s="481" t="n">
        <v>0</v>
      </c>
      <c r="M285" s="480">
        <f>K285*L285</f>
        <v/>
      </c>
    </row>
    <row r="286" hidden="1" outlineLevel="2">
      <c r="A286" s="182" t="n"/>
      <c r="B286" s="215" t="n">
        <v>4</v>
      </c>
      <c r="C286" s="184" t="inlineStr">
        <is>
          <t>Modifications to door closers and/or other fittings. [Describe]</t>
        </is>
      </c>
      <c r="D286" s="185" t="inlineStr">
        <is>
          <t>post</t>
        </is>
      </c>
      <c r="E286" s="186">
        <f>K286</f>
        <v/>
      </c>
      <c r="F286" s="477">
        <f>CEILING(L286*$M$7,$M$8)</f>
        <v/>
      </c>
      <c r="G286" s="477">
        <f>ROUND(E286*F286,0)</f>
        <v/>
      </c>
      <c r="H286" s="188" t="n"/>
      <c r="I286" s="189" t="inlineStr">
        <is>
          <t>Brandveiligheid</t>
        </is>
      </c>
      <c r="J286" s="188" t="n"/>
      <c r="K286" s="478" t="n">
        <v>0</v>
      </c>
      <c r="L286" s="481" t="n">
        <v>0</v>
      </c>
      <c r="M286" s="480">
        <f>K286*L286</f>
        <v/>
      </c>
    </row>
    <row r="287" hidden="1" outlineLevel="2">
      <c r="A287" s="182" t="n"/>
      <c r="B287" s="219" t="n">
        <v>5</v>
      </c>
      <c r="C287" s="184" t="inlineStr">
        <is>
          <t>Modifications / extension of fire dampers. [Describe]</t>
        </is>
      </c>
      <c r="D287" s="185" t="inlineStr">
        <is>
          <t>post</t>
        </is>
      </c>
      <c r="E287" s="186">
        <f>K287</f>
        <v/>
      </c>
      <c r="F287" s="477">
        <f>CEILING(L287*$M$7,$M$8)</f>
        <v/>
      </c>
      <c r="G287" s="477">
        <f>ROUND(E287*F287,0)</f>
        <v/>
      </c>
      <c r="H287" s="188" t="n"/>
      <c r="I287" s="189" t="inlineStr">
        <is>
          <t>Brandveiligheid</t>
        </is>
      </c>
      <c r="J287" s="188" t="n"/>
      <c r="K287" s="478" t="n">
        <v>0</v>
      </c>
      <c r="L287" s="481" t="n">
        <v>0</v>
      </c>
      <c r="M287" s="480">
        <f>K287*L287</f>
        <v/>
      </c>
    </row>
    <row r="288" hidden="1" outlineLevel="2">
      <c r="A288" s="182" t="n"/>
      <c r="B288" s="219" t="n">
        <v>6</v>
      </c>
      <c r="C288" s="184" t="inlineStr">
        <is>
          <t>Key safe.</t>
        </is>
      </c>
      <c r="D288" s="185" t="inlineStr">
        <is>
          <t>post</t>
        </is>
      </c>
      <c r="E288" s="186">
        <f>K288</f>
        <v/>
      </c>
      <c r="F288" s="477">
        <f>CEILING(L288*$M$7,$M$8)</f>
        <v/>
      </c>
      <c r="G288" s="477">
        <f>ROUND(E288*F288,0)</f>
        <v/>
      </c>
      <c r="H288" s="188" t="n"/>
      <c r="I288" s="189" t="inlineStr">
        <is>
          <t>Brandveiligheid</t>
        </is>
      </c>
      <c r="J288" s="188" t="n"/>
      <c r="K288" s="478" t="n">
        <v>0</v>
      </c>
      <c r="L288" s="481" t="n">
        <v>0</v>
      </c>
      <c r="M288" s="480">
        <f>K288*L288</f>
        <v/>
      </c>
    </row>
    <row r="289" hidden="1" outlineLevel="2">
      <c r="A289" s="182" t="n"/>
      <c r="B289" s="215" t="n">
        <v>7</v>
      </c>
      <c r="C289" s="184" t="inlineStr">
        <is>
          <t>Modifications to evacuation control panel. [Describe]</t>
        </is>
      </c>
      <c r="D289" s="185" t="inlineStr">
        <is>
          <t>post</t>
        </is>
      </c>
      <c r="E289" s="186">
        <f>K289</f>
        <v/>
      </c>
      <c r="F289" s="477">
        <f>CEILING(L289*$M$7,$M$8)</f>
        <v/>
      </c>
      <c r="G289" s="477">
        <f>ROUND(E289*F289,0)</f>
        <v/>
      </c>
      <c r="H289" s="188" t="n"/>
      <c r="I289" s="189" t="inlineStr">
        <is>
          <t>Brandveiligheid</t>
        </is>
      </c>
      <c r="J289" s="188" t="n"/>
      <c r="K289" s="478" t="n">
        <v>0</v>
      </c>
      <c r="L289" s="481" t="n">
        <v>0</v>
      </c>
      <c r="M289" s="480">
        <f>K289*L289</f>
        <v/>
      </c>
    </row>
    <row r="290" hidden="1" outlineLevel="2">
      <c r="A290" s="182" t="n"/>
      <c r="B290" s="219" t="n">
        <v>8</v>
      </c>
      <c r="C290" s="184" t="inlineStr">
        <is>
          <t>Modifications to fire alarm control panel and secondary indicators. [Describe]</t>
        </is>
      </c>
      <c r="D290" s="185" t="inlineStr">
        <is>
          <t>post</t>
        </is>
      </c>
      <c r="E290" s="186">
        <f>K290</f>
        <v/>
      </c>
      <c r="F290" s="477">
        <f>CEILING(L290*$M$7,$M$8)</f>
        <v/>
      </c>
      <c r="G290" s="477">
        <f>ROUND(E290*F290,0)</f>
        <v/>
      </c>
      <c r="H290" s="188" t="n"/>
      <c r="I290" s="189" t="inlineStr">
        <is>
          <t>Brandveiligheid</t>
        </is>
      </c>
      <c r="J290" s="188" t="n"/>
      <c r="K290" s="478" t="n">
        <v>0</v>
      </c>
      <c r="L290" s="481" t="n">
        <v>0</v>
      </c>
      <c r="M290" s="480">
        <f>K290*L290</f>
        <v/>
      </c>
    </row>
    <row r="291" hidden="1" outlineLevel="2">
      <c r="A291" s="182" t="n"/>
      <c r="B291" s="219" t="n">
        <v>9</v>
      </c>
      <c r="C291" s="184" t="inlineStr">
        <is>
          <t>Modifications to manual call points. [Describe]</t>
        </is>
      </c>
      <c r="D291" s="185" t="inlineStr">
        <is>
          <t>post</t>
        </is>
      </c>
      <c r="E291" s="186">
        <f>K291</f>
        <v/>
      </c>
      <c r="F291" s="477">
        <f>CEILING(L291*$M$7,$M$8)</f>
        <v/>
      </c>
      <c r="G291" s="477">
        <f>ROUND(E291*F291,0)</f>
        <v/>
      </c>
      <c r="H291" s="188" t="n"/>
      <c r="I291" s="189" t="inlineStr">
        <is>
          <t>Brandveiligheid</t>
        </is>
      </c>
      <c r="J291" s="188" t="n"/>
      <c r="K291" s="478" t="n">
        <v>0</v>
      </c>
      <c r="L291" s="481" t="n">
        <v>0</v>
      </c>
      <c r="M291" s="480">
        <f>K291*L291</f>
        <v/>
      </c>
    </row>
    <row r="292" hidden="1" outlineLevel="2">
      <c r="A292" s="182" t="n"/>
      <c r="B292" s="215" t="n">
        <v>10</v>
      </c>
      <c r="C292" s="184" t="inlineStr">
        <is>
          <t>Modifications/extension of fire hose reels. [Describe]</t>
        </is>
      </c>
      <c r="D292" s="185" t="inlineStr">
        <is>
          <t>post</t>
        </is>
      </c>
      <c r="E292" s="186">
        <f>K292</f>
        <v/>
      </c>
      <c r="F292" s="477">
        <f>CEILING(L292*$M$7,$M$8)</f>
        <v/>
      </c>
      <c r="G292" s="477">
        <f>ROUND(E292*F292,0)</f>
        <v/>
      </c>
      <c r="H292" s="188" t="n"/>
      <c r="I292" s="189" t="inlineStr">
        <is>
          <t>Brandveiligheid</t>
        </is>
      </c>
      <c r="J292" s="188" t="n"/>
      <c r="K292" s="478" t="n">
        <v>0</v>
      </c>
      <c r="L292" s="481" t="n">
        <v>0</v>
      </c>
      <c r="M292" s="480">
        <f>K292*L292</f>
        <v/>
      </c>
    </row>
    <row r="293" hidden="1" outlineLevel="2">
      <c r="A293" s="182" t="n"/>
      <c r="B293" s="219" t="n">
        <v>11</v>
      </c>
      <c r="C293" s="184" t="inlineStr">
        <is>
          <t>Additional fire-fighting equipment / fire extinguishers. [Describe]</t>
        </is>
      </c>
      <c r="D293" s="185" t="inlineStr">
        <is>
          <t>post</t>
        </is>
      </c>
      <c r="E293" s="186">
        <f>K293</f>
        <v/>
      </c>
      <c r="F293" s="477">
        <f>CEILING(L293*$M$7,$M$8)</f>
        <v/>
      </c>
      <c r="G293" s="477">
        <f>ROUND(E293*F293,0)</f>
        <v/>
      </c>
      <c r="H293" s="188" t="n"/>
      <c r="I293" s="189" t="inlineStr">
        <is>
          <t>Brandveiligheid</t>
        </is>
      </c>
      <c r="J293" s="188" t="n"/>
      <c r="K293" s="478" t="n">
        <v>0</v>
      </c>
      <c r="L293" s="481" t="n">
        <v>0</v>
      </c>
      <c r="M293" s="480">
        <f>K293*L293</f>
        <v/>
      </c>
    </row>
    <row r="294" hidden="1" outlineLevel="2">
      <c r="A294" s="182" t="n"/>
      <c r="B294" s="219" t="n">
        <v>12</v>
      </c>
      <c r="C294" s="184" t="inlineStr">
        <is>
          <t>Modifications to emergency lighting. [Describe]</t>
        </is>
      </c>
      <c r="D294" s="185" t="inlineStr">
        <is>
          <t>post</t>
        </is>
      </c>
      <c r="E294" s="186">
        <f>K294</f>
        <v/>
      </c>
      <c r="F294" s="477">
        <f>CEILING(L294*$M$7,$M$8)</f>
        <v/>
      </c>
      <c r="G294" s="477">
        <f>ROUND(E294*F294,0)</f>
        <v/>
      </c>
      <c r="H294" s="188" t="n"/>
      <c r="I294" s="189" t="inlineStr">
        <is>
          <t>Brandveiligheid</t>
        </is>
      </c>
      <c r="J294" s="188" t="n"/>
      <c r="K294" s="478" t="n">
        <v>0</v>
      </c>
      <c r="L294" s="481" t="n">
        <v>0</v>
      </c>
      <c r="M294" s="480">
        <f>K294*L294</f>
        <v/>
      </c>
    </row>
    <row r="295" hidden="1" outlineLevel="2">
      <c r="A295" s="182" t="n"/>
      <c r="B295" s="215" t="n">
        <v>13</v>
      </c>
      <c r="C295" s="184" t="inlineStr">
        <is>
          <t>Modifications to sprinkler system. [Describe]</t>
        </is>
      </c>
      <c r="D295" s="185" t="inlineStr">
        <is>
          <t>post</t>
        </is>
      </c>
      <c r="E295" s="186">
        <f>K295</f>
        <v/>
      </c>
      <c r="F295" s="477">
        <f>CEILING(L295*$M$7,$M$8)</f>
        <v/>
      </c>
      <c r="G295" s="477">
        <f>ROUND(E295*F295,0)</f>
        <v/>
      </c>
      <c r="H295" s="188" t="n"/>
      <c r="I295" s="189" t="inlineStr">
        <is>
          <t>Brandveiligheid</t>
        </is>
      </c>
      <c r="J295" s="188" t="n"/>
      <c r="K295" s="478" t="n">
        <v>0</v>
      </c>
      <c r="L295" s="481" t="n">
        <v>0</v>
      </c>
      <c r="M295" s="480">
        <f>K295*L295</f>
        <v/>
      </c>
    </row>
    <row r="296" hidden="1" outlineLevel="2">
      <c r="A296" s="182" t="n"/>
      <c r="B296" s="219" t="n">
        <v>14</v>
      </c>
      <c r="C296" s="184" t="inlineStr">
        <is>
          <t>Evacuation route plans. [Describe]</t>
        </is>
      </c>
      <c r="D296" s="185" t="inlineStr">
        <is>
          <t>post</t>
        </is>
      </c>
      <c r="E296" s="186">
        <f>K296</f>
        <v/>
      </c>
      <c r="F296" s="477">
        <f>CEILING(L296*$M$7,$M$8)</f>
        <v/>
      </c>
      <c r="G296" s="477">
        <f>ROUND(E296*F296,0)</f>
        <v/>
      </c>
      <c r="H296" s="188" t="n"/>
      <c r="I296" s="189" t="inlineStr">
        <is>
          <t>Brandveiligheid</t>
        </is>
      </c>
      <c r="J296" s="188" t="n"/>
      <c r="K296" s="478" t="n">
        <v>0</v>
      </c>
      <c r="L296" s="481" t="n">
        <v>0</v>
      </c>
      <c r="M296" s="480">
        <f>K296*L296</f>
        <v/>
      </c>
    </row>
    <row r="297" hidden="1" outlineLevel="2">
      <c r="A297" s="182" t="n"/>
      <c r="B297" s="183" t="n">
        <v>15</v>
      </c>
      <c r="C297" s="184" t="n"/>
      <c r="D297" s="185" t="inlineStr">
        <is>
          <t>post</t>
        </is>
      </c>
      <c r="E297" s="186">
        <f>K297</f>
        <v/>
      </c>
      <c r="F297" s="477">
        <f>CEILING(L297*$M$7,$M$8)</f>
        <v/>
      </c>
      <c r="G297" s="477">
        <f>ROUND(E297*F297,0)</f>
        <v/>
      </c>
      <c r="H297" s="194" t="n"/>
      <c r="I297" s="189" t="inlineStr">
        <is>
          <t>Brandveiligheid</t>
        </is>
      </c>
      <c r="J297" s="194" t="n"/>
      <c r="K297" s="478" t="n">
        <v>0</v>
      </c>
      <c r="L297" s="481" t="n">
        <v>0</v>
      </c>
      <c r="M297" s="480">
        <f>K297*L297</f>
        <v/>
      </c>
    </row>
    <row r="298" hidden="1" outlineLevel="2">
      <c r="A298" s="182" t="n"/>
      <c r="B298" s="183" t="n">
        <v>16</v>
      </c>
      <c r="C298" s="184" t="n"/>
      <c r="D298" s="185" t="inlineStr">
        <is>
          <t>post</t>
        </is>
      </c>
      <c r="E298" s="186">
        <f>K298</f>
        <v/>
      </c>
      <c r="F298" s="477">
        <f>CEILING(L298*$M$7,$M$8)</f>
        <v/>
      </c>
      <c r="G298" s="477">
        <f>ROUND(E298*F298,0)</f>
        <v/>
      </c>
      <c r="H298" s="194" t="n"/>
      <c r="I298" s="189" t="inlineStr">
        <is>
          <t>Brandveiligheid</t>
        </is>
      </c>
      <c r="J298" s="194" t="n"/>
      <c r="K298" s="478" t="n">
        <v>0</v>
      </c>
      <c r="L298" s="481" t="n">
        <v>0</v>
      </c>
      <c r="M298" s="480">
        <f>K298*L298</f>
        <v/>
      </c>
    </row>
    <row r="299" hidden="1" outlineLevel="2">
      <c r="A299" s="182" t="n"/>
      <c r="B299" s="183" t="n">
        <v>17</v>
      </c>
      <c r="C299" s="184" t="n"/>
      <c r="D299" s="185" t="inlineStr">
        <is>
          <t>post</t>
        </is>
      </c>
      <c r="E299" s="186">
        <f>K299</f>
        <v/>
      </c>
      <c r="F299" s="477">
        <f>CEILING(L299*$M$7,$M$8)</f>
        <v/>
      </c>
      <c r="G299" s="477">
        <f>ROUND(E299*F299,0)</f>
        <v/>
      </c>
      <c r="H299" s="194" t="n"/>
      <c r="I299" s="189" t="inlineStr">
        <is>
          <t>Brandveiligheid</t>
        </is>
      </c>
      <c r="J299" s="194" t="n"/>
      <c r="K299" s="478" t="n">
        <v>0</v>
      </c>
      <c r="L299" s="481" t="n">
        <v>0</v>
      </c>
      <c r="M299" s="480">
        <f>K299*L299</f>
        <v/>
      </c>
    </row>
    <row r="300" hidden="1" outlineLevel="2">
      <c r="A300" s="182" t="n"/>
      <c r="B300" s="183" t="n">
        <v>18</v>
      </c>
      <c r="C300" s="184" t="n"/>
      <c r="D300" s="185" t="inlineStr">
        <is>
          <t>post</t>
        </is>
      </c>
      <c r="E300" s="186">
        <f>K300</f>
        <v/>
      </c>
      <c r="F300" s="477">
        <f>CEILING(L300*$M$7,$M$8)</f>
        <v/>
      </c>
      <c r="G300" s="477">
        <f>ROUND(E300*F300,0)</f>
        <v/>
      </c>
      <c r="H300" s="194" t="n"/>
      <c r="I300" s="189" t="inlineStr">
        <is>
          <t>Brandveiligheid</t>
        </is>
      </c>
      <c r="J300" s="194" t="n"/>
      <c r="K300" s="478" t="n">
        <v>0</v>
      </c>
      <c r="L300" s="481" t="n">
        <v>0</v>
      </c>
      <c r="M300" s="480">
        <f>K300*L300</f>
        <v/>
      </c>
    </row>
    <row r="301" hidden="1" outlineLevel="2">
      <c r="A301" s="182" t="n"/>
      <c r="B301" s="183" t="n">
        <v>19</v>
      </c>
      <c r="C301" s="184" t="n"/>
      <c r="D301" s="185" t="inlineStr">
        <is>
          <t>post</t>
        </is>
      </c>
      <c r="E301" s="186">
        <f>K301</f>
        <v/>
      </c>
      <c r="F301" s="477">
        <f>CEILING(L301*$M$7,$M$8)</f>
        <v/>
      </c>
      <c r="G301" s="477">
        <f>ROUND(E301*F301,0)</f>
        <v/>
      </c>
      <c r="H301" s="194" t="n"/>
      <c r="I301" s="189" t="inlineStr">
        <is>
          <t>Brandveiligheid</t>
        </is>
      </c>
      <c r="J301" s="194" t="n"/>
      <c r="K301" s="478" t="n">
        <v>0</v>
      </c>
      <c r="L301" s="481" t="n">
        <v>0</v>
      </c>
      <c r="M301" s="480">
        <f>K301*L301</f>
        <v/>
      </c>
    </row>
    <row r="302" hidden="1" outlineLevel="2">
      <c r="A302" s="182" t="n"/>
      <c r="B302" s="183" t="n">
        <v>20</v>
      </c>
      <c r="C302" s="184" t="n"/>
      <c r="D302" s="185" t="inlineStr">
        <is>
          <t>post</t>
        </is>
      </c>
      <c r="E302" s="186">
        <f>K302</f>
        <v/>
      </c>
      <c r="F302" s="477">
        <f>CEILING(L302*$M$7,$M$8)</f>
        <v/>
      </c>
      <c r="G302" s="477">
        <f>ROUND(E302*F302,0)</f>
        <v/>
      </c>
      <c r="H302" s="194" t="n"/>
      <c r="I302" s="189" t="inlineStr">
        <is>
          <t>Brandveiligheid</t>
        </is>
      </c>
      <c r="J302" s="194" t="n"/>
      <c r="K302" s="478" t="n">
        <v>0</v>
      </c>
      <c r="L302" s="481" t="n">
        <v>0</v>
      </c>
      <c r="M302" s="480">
        <f>K302*L302</f>
        <v/>
      </c>
    </row>
    <row r="303" hidden="1" outlineLevel="2">
      <c r="A303" s="195" t="n"/>
      <c r="B303" s="219" t="n"/>
      <c r="C303" s="184" t="n"/>
      <c r="D303" s="185" t="n"/>
      <c r="E303" s="486" t="n"/>
      <c r="F303" s="477" t="n"/>
      <c r="G303" s="477" t="n"/>
      <c r="H303" s="188" t="n"/>
      <c r="I303" s="189" t="n"/>
      <c r="J303" s="188" t="n"/>
      <c r="K303" s="478" t="n"/>
      <c r="L303" s="481" t="n"/>
      <c r="M303" s="480" t="n"/>
    </row>
    <row r="304" outlineLevel="2">
      <c r="E304" s="38" t="n"/>
      <c r="F304" s="38" t="n"/>
      <c r="G304" s="482">
        <f>SUM(G283:G303)</f>
        <v/>
      </c>
      <c r="K304" s="483" t="n"/>
      <c r="M304" s="484">
        <f>SUM(M283:M303)</f>
        <v/>
      </c>
    </row>
    <row r="305" outlineLevel="1">
      <c r="E305" s="38" t="n"/>
      <c r="F305" s="38" t="n"/>
      <c r="G305" s="38" t="n"/>
      <c r="K305" s="483" t="n"/>
    </row>
    <row r="306">
      <c r="A306" s="176" t="n">
        <v>300</v>
      </c>
      <c r="B306" s="101" t="inlineStr">
        <is>
          <t>FINISHING &amp; FIXTURES</t>
        </is>
      </c>
      <c r="C306" s="102" t="n"/>
      <c r="D306" s="102" t="n"/>
      <c r="E306" s="102" t="n"/>
      <c r="F306" s="102" t="n"/>
      <c r="G306" s="102" t="n"/>
      <c r="H306" s="277" t="n"/>
      <c r="I306" s="278" t="n"/>
      <c r="J306" s="277" t="n"/>
      <c r="K306" s="494" t="n"/>
      <c r="L306" s="177" t="n"/>
      <c r="M306" s="178" t="n"/>
    </row>
    <row r="307" ht="4.35" customHeight="1">
      <c r="E307" s="38" t="n"/>
      <c r="F307" s="38" t="n"/>
      <c r="G307" s="38" t="n"/>
      <c r="K307" s="483" t="n"/>
    </row>
    <row r="308" outlineLevel="2">
      <c r="A308" s="179" t="n">
        <v>310</v>
      </c>
      <c r="B308" s="279" t="inlineStr">
        <is>
          <t>FLOOR FINISHES (Carpet, marmoleum, etc. / wooden floors / resin floors &amp; coatings)</t>
        </is>
      </c>
      <c r="C308" s="280" t="n"/>
      <c r="D308" s="280" t="n"/>
      <c r="E308" s="280" t="n"/>
      <c r="F308" s="280" t="n"/>
      <c r="G308" s="280" t="n"/>
      <c r="H308" s="281" t="n"/>
      <c r="I308" s="282" t="n"/>
      <c r="J308" s="281" t="n"/>
      <c r="K308" s="485" t="n"/>
      <c r="L308" s="410" t="n"/>
      <c r="M308" s="199" t="n"/>
    </row>
    <row r="309" outlineLevel="2">
      <c r="A309" s="203" t="n"/>
      <c r="B309" s="405" t="n">
        <v>311</v>
      </c>
      <c r="C309" s="283" t="inlineStr">
        <is>
          <t>Carpet flooring</t>
        </is>
      </c>
      <c r="D309" s="283" t="n"/>
      <c r="E309" s="284" t="n"/>
      <c r="F309" s="284" t="n"/>
      <c r="G309" s="284" t="n"/>
      <c r="H309" s="285" t="n"/>
      <c r="I309" s="283" t="n"/>
      <c r="J309" s="285" t="n"/>
      <c r="K309" s="204" t="n"/>
      <c r="L309" s="204" t="n"/>
      <c r="M309" s="204" t="n"/>
    </row>
    <row r="310" outlineLevel="2">
      <c r="A310" s="182" t="n"/>
      <c r="B310" s="215" t="n">
        <v>1</v>
      </c>
      <c r="C310" s="206" t="inlineStr">
        <is>
          <t>Levelling.</t>
        </is>
      </c>
      <c r="D310" s="185" t="inlineStr">
        <is>
          <t>stelpost</t>
        </is>
      </c>
      <c r="E310" s="186">
        <f>K310</f>
        <v/>
      </c>
      <c r="F310" s="477">
        <f>CEILING(L310*$M$7,$M$8)</f>
        <v/>
      </c>
      <c r="G310" s="477">
        <f>ROUND(E310*F310,0)</f>
        <v/>
      </c>
      <c r="H310" s="188" t="n"/>
      <c r="I310" s="189" t="inlineStr">
        <is>
          <t>Vloer</t>
        </is>
      </c>
      <c r="J310" s="188" t="n"/>
      <c r="K310" s="478" t="n">
        <v>0</v>
      </c>
      <c r="L310" s="481" t="n">
        <v>2</v>
      </c>
      <c r="M310" s="480">
        <f>K310*L310</f>
        <v/>
      </c>
    </row>
    <row r="311" outlineLevel="2">
      <c r="A311" s="182" t="n"/>
      <c r="B311" s="219" t="n">
        <v>2</v>
      </c>
      <c r="C311" s="184" t="inlineStr">
        <is>
          <t xml:space="preserve">Preparation and transport. </t>
        </is>
      </c>
      <c r="D311" s="185" t="inlineStr">
        <is>
          <t>stelpost</t>
        </is>
      </c>
      <c r="E311" s="186">
        <f>K311</f>
        <v/>
      </c>
      <c r="F311" s="477">
        <f>CEILING(L311*$M$7,$M$8)</f>
        <v/>
      </c>
      <c r="G311" s="477">
        <f>ROUND(E311*F311,0)</f>
        <v/>
      </c>
      <c r="H311" s="188" t="n"/>
      <c r="I311" s="189" t="inlineStr">
        <is>
          <t>Vloer</t>
        </is>
      </c>
      <c r="J311" s="188" t="n"/>
      <c r="K311" s="478" t="n">
        <v>0</v>
      </c>
      <c r="L311" s="481" t="n">
        <v>1000</v>
      </c>
      <c r="M311" s="480">
        <f>K311*L311</f>
        <v/>
      </c>
    </row>
    <row r="312" outlineLevel="2">
      <c r="A312" s="182" t="n"/>
      <c r="B312" s="219" t="n">
        <v>3</v>
      </c>
      <c r="C312" s="184" t="inlineStr">
        <is>
          <t xml:space="preserve">Carpet tiles. Interface, subtype t.b.d., including anti slip </t>
        </is>
      </c>
      <c r="D312" s="185" t="inlineStr">
        <is>
          <t>stelpost</t>
        </is>
      </c>
      <c r="E312" s="186">
        <f>K312</f>
        <v/>
      </c>
      <c r="F312" s="477">
        <f>CEILING(L312*$M$7,$M$8)</f>
        <v/>
      </c>
      <c r="G312" s="477">
        <f>ROUND(E312*F312,0)</f>
        <v/>
      </c>
      <c r="H312" s="188" t="n"/>
      <c r="I312" s="189" t="inlineStr">
        <is>
          <t>Vloer</t>
        </is>
      </c>
      <c r="J312" s="188" t="n"/>
      <c r="K312" s="478" t="n">
        <v>0</v>
      </c>
      <c r="L312" s="481" t="n">
        <v>35</v>
      </c>
      <c r="M312" s="480">
        <f>K312*L312</f>
        <v/>
      </c>
    </row>
    <row r="313" outlineLevel="2">
      <c r="A313" s="182" t="n"/>
      <c r="B313" s="215" t="n">
        <v>4</v>
      </c>
      <c r="C313" s="184" t="inlineStr">
        <is>
          <t xml:space="preserve">Vinyl tiles. Interface, subtype t.b.d., including anti slip. </t>
        </is>
      </c>
      <c r="D313" s="185" t="inlineStr">
        <is>
          <t>stelpost</t>
        </is>
      </c>
      <c r="E313" s="186">
        <f>K313</f>
        <v/>
      </c>
      <c r="F313" s="477">
        <f>CEILING(L313*$M$7,$M$8)</f>
        <v/>
      </c>
      <c r="G313" s="477">
        <f>ROUND(E313*F313,0)</f>
        <v/>
      </c>
      <c r="H313" s="188" t="n"/>
      <c r="I313" s="189" t="inlineStr">
        <is>
          <t>Vloer</t>
        </is>
      </c>
      <c r="J313" s="188" t="n"/>
      <c r="K313" s="478" t="n">
        <v>0</v>
      </c>
      <c r="L313" s="481" t="n">
        <v>38</v>
      </c>
      <c r="M313" s="480">
        <f>K313*L313</f>
        <v/>
      </c>
    </row>
    <row r="314" outlineLevel="2">
      <c r="A314" s="182" t="n"/>
      <c r="B314" s="215" t="n"/>
      <c r="C314" s="206" t="n"/>
      <c r="D314" s="185" t="n"/>
      <c r="E314" s="486" t="n"/>
      <c r="F314" s="477" t="n"/>
      <c r="G314" s="487">
        <f>SUM(G310:G313)</f>
        <v/>
      </c>
      <c r="H314" s="188" t="n"/>
      <c r="I314" s="189" t="n"/>
      <c r="J314" s="188" t="n"/>
      <c r="K314" s="478" t="n"/>
      <c r="L314" s="479" t="n"/>
      <c r="M314" s="488">
        <f>SUM(M310:M313)</f>
        <v/>
      </c>
    </row>
    <row r="315" hidden="1" outlineLevel="2">
      <c r="A315" s="182" t="n"/>
      <c r="B315" s="405" t="n">
        <v>312</v>
      </c>
      <c r="C315" s="283" t="inlineStr">
        <is>
          <t>PVC flooring</t>
        </is>
      </c>
      <c r="D315" s="283" t="n"/>
      <c r="E315" s="284" t="n"/>
      <c r="F315" s="284" t="n"/>
      <c r="G315" s="284" t="n"/>
      <c r="H315" s="285" t="n"/>
      <c r="I315" s="283" t="n"/>
      <c r="J315" s="285" t="n"/>
      <c r="K315" s="204" t="n"/>
      <c r="L315" s="204" t="n"/>
      <c r="M315" s="204" t="n"/>
    </row>
    <row r="316" hidden="1" outlineLevel="2">
      <c r="A316" s="182" t="n"/>
      <c r="B316" s="219" t="n">
        <v>1</v>
      </c>
      <c r="C316" s="184" t="inlineStr">
        <is>
          <t>Levelling.</t>
        </is>
      </c>
      <c r="D316" s="185" t="inlineStr">
        <is>
          <t>post</t>
        </is>
      </c>
      <c r="E316" s="186">
        <f>K316</f>
        <v/>
      </c>
      <c r="F316" s="477">
        <f>CEILING(L316*$M$7,$M$8)</f>
        <v/>
      </c>
      <c r="G316" s="477">
        <f>ROUND(E316*F316,0)</f>
        <v/>
      </c>
      <c r="H316" s="188" t="n"/>
      <c r="I316" s="189" t="inlineStr">
        <is>
          <t>Vloer</t>
        </is>
      </c>
      <c r="J316" s="188" t="n"/>
      <c r="K316" s="478" t="n">
        <v>0</v>
      </c>
      <c r="L316" s="481" t="n">
        <v>0</v>
      </c>
      <c r="M316" s="480">
        <f>K316*L316</f>
        <v/>
      </c>
    </row>
    <row r="317" hidden="1" outlineLevel="2">
      <c r="A317" s="182" t="n"/>
      <c r="B317" s="219" t="n">
        <v>2</v>
      </c>
      <c r="C317" s="184" t="inlineStr">
        <is>
          <t>Preparation.</t>
        </is>
      </c>
      <c r="D317" s="185" t="inlineStr">
        <is>
          <t>post</t>
        </is>
      </c>
      <c r="E317" s="186">
        <f>K317</f>
        <v/>
      </c>
      <c r="F317" s="477">
        <f>CEILING(L317*$M$7,$M$8)</f>
        <v/>
      </c>
      <c r="G317" s="477">
        <f>ROUND(E317*F317,0)</f>
        <v/>
      </c>
      <c r="H317" s="188" t="n"/>
      <c r="I317" s="189" t="inlineStr">
        <is>
          <t>Vloer</t>
        </is>
      </c>
      <c r="J317" s="188" t="n"/>
      <c r="K317" s="478" t="n">
        <v>0</v>
      </c>
      <c r="L317" s="481" t="n">
        <v>0</v>
      </c>
      <c r="M317" s="480">
        <f>K317*L317</f>
        <v/>
      </c>
    </row>
    <row r="318" hidden="1" outlineLevel="2">
      <c r="A318" s="182" t="n"/>
      <c r="B318" s="215" t="n">
        <v>3</v>
      </c>
      <c r="C318" s="184" t="inlineStr">
        <is>
          <t>High-quality floor finish.</t>
        </is>
      </c>
      <c r="D318" s="185" t="inlineStr">
        <is>
          <t>m2</t>
        </is>
      </c>
      <c r="E318" s="186">
        <f>K318</f>
        <v/>
      </c>
      <c r="F318" s="477">
        <f>CEILING(L318*$M$7,$M$8)</f>
        <v/>
      </c>
      <c r="G318" s="477">
        <f>ROUND(E318*F318,0)</f>
        <v/>
      </c>
      <c r="H318" s="188" t="n"/>
      <c r="I318" s="189" t="inlineStr">
        <is>
          <t>Vloer</t>
        </is>
      </c>
      <c r="J318" s="188" t="n"/>
      <c r="K318" s="478" t="n">
        <v>0</v>
      </c>
      <c r="L318" s="481" t="n">
        <v>0</v>
      </c>
      <c r="M318" s="480">
        <f>K318*L318</f>
        <v/>
      </c>
    </row>
    <row r="319" hidden="1" outlineLevel="2">
      <c r="A319" s="182" t="n"/>
      <c r="B319" s="219" t="n">
        <v>4</v>
      </c>
      <c r="C319" s="184" t="inlineStr">
        <is>
          <t>Covering the floor during construction.</t>
        </is>
      </c>
      <c r="D319" s="185" t="inlineStr">
        <is>
          <t>post</t>
        </is>
      </c>
      <c r="E319" s="186">
        <f>K319</f>
        <v/>
      </c>
      <c r="F319" s="477">
        <f>CEILING(L319*$M$7,$M$8)</f>
        <v/>
      </c>
      <c r="G319" s="477">
        <f>ROUND(E319*F319,0)</f>
        <v/>
      </c>
      <c r="H319" s="188" t="n"/>
      <c r="I319" s="189" t="inlineStr">
        <is>
          <t>Vloer</t>
        </is>
      </c>
      <c r="J319" s="188" t="n"/>
      <c r="K319" s="478" t="n">
        <v>0</v>
      </c>
      <c r="L319" s="481" t="n">
        <v>0</v>
      </c>
      <c r="M319" s="480">
        <f>K319*L319</f>
        <v/>
      </c>
    </row>
    <row r="320" hidden="1" outlineLevel="2">
      <c r="A320" s="182" t="n"/>
      <c r="B320" s="215" t="n"/>
      <c r="C320" s="206" t="n"/>
      <c r="D320" s="185" t="n"/>
      <c r="E320" s="486" t="n"/>
      <c r="F320" s="477" t="n"/>
      <c r="G320" s="487">
        <f>SUM(G316:G319)</f>
        <v/>
      </c>
      <c r="H320" s="188" t="n"/>
      <c r="I320" s="189" t="n"/>
      <c r="J320" s="188" t="n"/>
      <c r="K320" s="478" t="n"/>
      <c r="L320" s="479" t="n"/>
      <c r="M320" s="488">
        <f>SUM(M316:M319)</f>
        <v/>
      </c>
    </row>
    <row r="321" hidden="1" outlineLevel="2">
      <c r="A321" s="182" t="n"/>
      <c r="B321" s="405" t="n">
        <v>313</v>
      </c>
      <c r="C321" s="283" t="inlineStr">
        <is>
          <t>Wooden flooring</t>
        </is>
      </c>
      <c r="D321" s="283" t="n"/>
      <c r="E321" s="284" t="n"/>
      <c r="F321" s="284" t="n"/>
      <c r="G321" s="284" t="n"/>
      <c r="H321" s="285" t="n"/>
      <c r="I321" s="283" t="n"/>
      <c r="J321" s="285" t="n"/>
      <c r="K321" s="204" t="n"/>
      <c r="L321" s="204" t="n"/>
      <c r="M321" s="204" t="n"/>
    </row>
    <row r="322" hidden="1" outlineLevel="2">
      <c r="A322" s="182" t="n"/>
      <c r="B322" s="219" t="n">
        <v>1</v>
      </c>
      <c r="C322" s="184" t="inlineStr">
        <is>
          <t>Preparatory work for wooden flooring.</t>
        </is>
      </c>
      <c r="D322" s="185" t="inlineStr">
        <is>
          <t>post</t>
        </is>
      </c>
      <c r="E322" s="186">
        <f>K322</f>
        <v/>
      </c>
      <c r="F322" s="477">
        <f>CEILING(L322*$M$7,$M$8)</f>
        <v/>
      </c>
      <c r="G322" s="477">
        <f>ROUND(E322*F322,0)</f>
        <v/>
      </c>
      <c r="H322" s="188" t="n"/>
      <c r="I322" s="189" t="inlineStr">
        <is>
          <t>Vloer</t>
        </is>
      </c>
      <c r="J322" s="188" t="n"/>
      <c r="K322" s="478" t="n">
        <v>0</v>
      </c>
      <c r="L322" s="481" t="n">
        <v>0</v>
      </c>
      <c r="M322" s="480">
        <f>K322*L322</f>
        <v/>
      </c>
    </row>
    <row r="323" hidden="1" outlineLevel="2">
      <c r="A323" s="182" t="n"/>
      <c r="B323" s="215" t="n">
        <v>2</v>
      </c>
      <c r="C323" s="184" t="inlineStr">
        <is>
          <t>Subfloor for wooden flooring.</t>
        </is>
      </c>
      <c r="D323" s="185" t="inlineStr">
        <is>
          <t>post</t>
        </is>
      </c>
      <c r="E323" s="186">
        <f>K323</f>
        <v/>
      </c>
      <c r="F323" s="477">
        <f>CEILING(L323*$M$7,$M$8)</f>
        <v/>
      </c>
      <c r="G323" s="477">
        <f>ROUND(E323*F323,0)</f>
        <v/>
      </c>
      <c r="H323" s="188" t="n"/>
      <c r="I323" s="189" t="inlineStr">
        <is>
          <t>Vloer</t>
        </is>
      </c>
      <c r="J323" s="188" t="n"/>
      <c r="K323" s="478" t="n">
        <v>0</v>
      </c>
      <c r="L323" s="481" t="n">
        <v>0</v>
      </c>
      <c r="M323" s="480">
        <f>K323*L323</f>
        <v/>
      </c>
    </row>
    <row r="324" hidden="1" outlineLevel="2">
      <c r="A324" s="182" t="n"/>
      <c r="B324" s="219" t="n">
        <v>3</v>
      </c>
      <c r="C324" s="184" t="inlineStr">
        <is>
          <t>Skirting boards.</t>
        </is>
      </c>
      <c r="D324" s="185" t="inlineStr">
        <is>
          <t>post</t>
        </is>
      </c>
      <c r="E324" s="186">
        <f>K324</f>
        <v/>
      </c>
      <c r="F324" s="477">
        <f>CEILING(L324*$M$7,$M$8)</f>
        <v/>
      </c>
      <c r="G324" s="477">
        <f>ROUND(E324*F324,0)</f>
        <v/>
      </c>
      <c r="H324" s="188" t="n"/>
      <c r="I324" s="189" t="inlineStr">
        <is>
          <t>Vloer</t>
        </is>
      </c>
      <c r="J324" s="188" t="n"/>
      <c r="K324" s="478" t="n">
        <v>0</v>
      </c>
      <c r="L324" s="481" t="n">
        <v>0</v>
      </c>
      <c r="M324" s="480">
        <f>K324*L324</f>
        <v/>
      </c>
    </row>
    <row r="325" hidden="1" outlineLevel="2">
      <c r="A325" s="182" t="n"/>
      <c r="B325" s="219" t="n">
        <v>4</v>
      </c>
      <c r="C325" s="184" t="inlineStr">
        <is>
          <t>Floor finishing.</t>
        </is>
      </c>
      <c r="D325" s="185" t="inlineStr">
        <is>
          <t>post</t>
        </is>
      </c>
      <c r="E325" s="186">
        <f>K325</f>
        <v/>
      </c>
      <c r="F325" s="477">
        <f>CEILING(L325*$M$7,$M$8)</f>
        <v/>
      </c>
      <c r="G325" s="477">
        <f>ROUND(E325*F325,0)</f>
        <v/>
      </c>
      <c r="H325" s="188" t="n"/>
      <c r="I325" s="189" t="inlineStr">
        <is>
          <t>Vloer</t>
        </is>
      </c>
      <c r="J325" s="188" t="n"/>
      <c r="K325" s="478" t="n">
        <v>0</v>
      </c>
      <c r="L325" s="481" t="n">
        <v>0</v>
      </c>
      <c r="M325" s="480">
        <f>K325*L325</f>
        <v/>
      </c>
    </row>
    <row r="326" hidden="1" outlineLevel="2">
      <c r="A326" s="182" t="n"/>
      <c r="B326" s="215" t="n">
        <v>5</v>
      </c>
      <c r="C326" s="184" t="inlineStr">
        <is>
          <t>Covering the floor during construction.</t>
        </is>
      </c>
      <c r="D326" s="185" t="inlineStr">
        <is>
          <t>post</t>
        </is>
      </c>
      <c r="E326" s="186">
        <f>K326</f>
        <v/>
      </c>
      <c r="F326" s="477">
        <f>CEILING(L326*$M$7,$M$8)</f>
        <v/>
      </c>
      <c r="G326" s="477">
        <f>ROUND(E326*F326,0)</f>
        <v/>
      </c>
      <c r="H326" s="188" t="n"/>
      <c r="I326" s="189" t="inlineStr">
        <is>
          <t>Vloer</t>
        </is>
      </c>
      <c r="J326" s="188" t="n"/>
      <c r="K326" s="478" t="n">
        <v>0</v>
      </c>
      <c r="L326" s="481" t="n">
        <v>0</v>
      </c>
      <c r="M326" s="480">
        <f>K326*L326</f>
        <v/>
      </c>
    </row>
    <row r="327" hidden="1" outlineLevel="2">
      <c r="A327" s="182" t="n"/>
      <c r="B327" s="215" t="n"/>
      <c r="C327" s="206" t="n"/>
      <c r="D327" s="185" t="n"/>
      <c r="E327" s="486" t="n"/>
      <c r="F327" s="477" t="n"/>
      <c r="G327" s="487">
        <f>SUM(G322:G326)</f>
        <v/>
      </c>
      <c r="H327" s="188" t="n"/>
      <c r="I327" s="189" t="n"/>
      <c r="J327" s="188" t="n"/>
      <c r="K327" s="478" t="n"/>
      <c r="L327" s="479" t="n"/>
      <c r="M327" s="488">
        <f>SUM(M322:M326)</f>
        <v/>
      </c>
    </row>
    <row r="328" hidden="1" outlineLevel="2">
      <c r="A328" s="182" t="n"/>
      <c r="B328" s="405" t="n">
        <v>314</v>
      </c>
      <c r="C328" s="283" t="inlineStr">
        <is>
          <t>Other floor finishes</t>
        </is>
      </c>
      <c r="D328" s="283" t="n"/>
      <c r="E328" s="284" t="n"/>
      <c r="F328" s="284" t="n"/>
      <c r="G328" s="284" t="n"/>
      <c r="H328" s="285" t="n"/>
      <c r="I328" s="283" t="n"/>
      <c r="J328" s="285" t="n"/>
      <c r="K328" s="204" t="n"/>
      <c r="L328" s="204" t="n"/>
      <c r="M328" s="204" t="n"/>
    </row>
    <row r="329" hidden="1" outlineLevel="2">
      <c r="A329" s="182" t="n"/>
      <c r="B329" s="219" t="n">
        <v>1</v>
      </c>
      <c r="C329" s="184" t="inlineStr">
        <is>
          <t>Levelling / preparation / floor finishing. [Describe floor finishing]</t>
        </is>
      </c>
      <c r="D329" s="185" t="inlineStr">
        <is>
          <t>post</t>
        </is>
      </c>
      <c r="E329" s="186">
        <f>K329</f>
        <v/>
      </c>
      <c r="F329" s="477">
        <f>CEILING(L329*$M$7,$M$8)</f>
        <v/>
      </c>
      <c r="G329" s="477">
        <f>ROUND(E329*F329,0)</f>
        <v/>
      </c>
      <c r="H329" s="188" t="n"/>
      <c r="I329" s="189" t="inlineStr">
        <is>
          <t>Vloer</t>
        </is>
      </c>
      <c r="J329" s="188" t="n"/>
      <c r="K329" s="478" t="n">
        <v>0</v>
      </c>
      <c r="L329" s="481" t="n">
        <v>0</v>
      </c>
      <c r="M329" s="480">
        <f>K329*L329</f>
        <v/>
      </c>
    </row>
    <row r="330" hidden="1" outlineLevel="2">
      <c r="A330" s="182" t="n"/>
      <c r="B330" s="219" t="n">
        <v>2</v>
      </c>
      <c r="C330" s="184" t="inlineStr">
        <is>
          <t>Have the subfloor tested by TNO. [ELIMINATE RISK]</t>
        </is>
      </c>
      <c r="D330" s="185" t="inlineStr">
        <is>
          <t>post</t>
        </is>
      </c>
      <c r="E330" s="186">
        <f>K330</f>
        <v/>
      </c>
      <c r="F330" s="477">
        <f>CEILING(L330*$M$7,$M$8)</f>
        <v/>
      </c>
      <c r="G330" s="477">
        <f>ROUND(E330*F330,0)</f>
        <v/>
      </c>
      <c r="H330" s="188" t="n"/>
      <c r="I330" s="189" t="inlineStr">
        <is>
          <t>Vloer</t>
        </is>
      </c>
      <c r="J330" s="188" t="n"/>
      <c r="K330" s="478" t="n">
        <v>0</v>
      </c>
      <c r="L330" s="481" t="n">
        <v>0</v>
      </c>
      <c r="M330" s="480" t="n">
        <v>0</v>
      </c>
    </row>
    <row r="331" hidden="1" outlineLevel="2">
      <c r="A331" s="182" t="n"/>
      <c r="B331" s="215" t="n">
        <v>3</v>
      </c>
      <c r="C331" s="184" t="inlineStr">
        <is>
          <t>Install / modify / extend raised floor. [Describe]</t>
        </is>
      </c>
      <c r="D331" s="185" t="inlineStr">
        <is>
          <t>post</t>
        </is>
      </c>
      <c r="E331" s="186">
        <f>K331</f>
        <v/>
      </c>
      <c r="F331" s="477">
        <f>CEILING(L331*$M$7,$M$8)</f>
        <v/>
      </c>
      <c r="G331" s="477">
        <f>ROUND(E331*F331,0)</f>
        <v/>
      </c>
      <c r="H331" s="188" t="n"/>
      <c r="I331" s="189" t="inlineStr">
        <is>
          <t>Vloer</t>
        </is>
      </c>
      <c r="J331" s="188" t="n"/>
      <c r="K331" s="478" t="n">
        <v>0</v>
      </c>
      <c r="L331" s="481" t="n">
        <v>0</v>
      </c>
      <c r="M331" s="480">
        <f>K331*L331</f>
        <v/>
      </c>
    </row>
    <row r="332" hidden="1" outlineLevel="2">
      <c r="A332" s="182" t="n"/>
      <c r="B332" s="219" t="n">
        <v>4</v>
      </c>
      <c r="C332" s="184" t="inlineStr">
        <is>
          <t>Sound insulation beneath raised floor for walls. [Describe]</t>
        </is>
      </c>
      <c r="D332" s="185" t="inlineStr">
        <is>
          <t>post</t>
        </is>
      </c>
      <c r="E332" s="186">
        <f>K332</f>
        <v/>
      </c>
      <c r="F332" s="477">
        <f>CEILING(L332*$M$7,$M$8)</f>
        <v/>
      </c>
      <c r="G332" s="477">
        <f>ROUND(E332*F332,0)</f>
        <v/>
      </c>
      <c r="H332" s="188" t="n"/>
      <c r="I332" s="189" t="inlineStr">
        <is>
          <t>Vloer</t>
        </is>
      </c>
      <c r="J332" s="188" t="n"/>
      <c r="K332" s="478" t="n">
        <v>0</v>
      </c>
      <c r="L332" s="481" t="n">
        <v>0</v>
      </c>
      <c r="M332" s="480">
        <f>K332*L332</f>
        <v/>
      </c>
    </row>
    <row r="333" hidden="1" outlineLevel="2">
      <c r="A333" s="182" t="n"/>
      <c r="B333" s="183" t="n">
        <v>5</v>
      </c>
      <c r="C333" s="184" t="n"/>
      <c r="D333" s="185" t="inlineStr">
        <is>
          <t>post</t>
        </is>
      </c>
      <c r="E333" s="186">
        <f>K333</f>
        <v/>
      </c>
      <c r="F333" s="477">
        <f>CEILING(L333*$M$7,$M$8)</f>
        <v/>
      </c>
      <c r="G333" s="477">
        <f>ROUND(E333*F333,0)</f>
        <v/>
      </c>
      <c r="H333" s="194" t="n"/>
      <c r="I333" s="189" t="inlineStr">
        <is>
          <t>Vloer</t>
        </is>
      </c>
      <c r="J333" s="194" t="n"/>
      <c r="K333" s="478" t="n">
        <v>0</v>
      </c>
      <c r="L333" s="481" t="n">
        <v>0</v>
      </c>
      <c r="M333" s="480">
        <f>K333*L333</f>
        <v/>
      </c>
    </row>
    <row r="334" hidden="1" outlineLevel="2">
      <c r="A334" s="182" t="n"/>
      <c r="B334" s="183" t="n">
        <v>6</v>
      </c>
      <c r="C334" s="184" t="n"/>
      <c r="D334" s="185" t="inlineStr">
        <is>
          <t>post</t>
        </is>
      </c>
      <c r="E334" s="186">
        <f>K334</f>
        <v/>
      </c>
      <c r="F334" s="477">
        <f>CEILING(L334*$M$7,$M$8)</f>
        <v/>
      </c>
      <c r="G334" s="477">
        <f>ROUND(E334*F334,0)</f>
        <v/>
      </c>
      <c r="H334" s="194" t="n"/>
      <c r="I334" s="189" t="inlineStr">
        <is>
          <t>Vloer</t>
        </is>
      </c>
      <c r="J334" s="194" t="n"/>
      <c r="K334" s="478" t="n">
        <v>0</v>
      </c>
      <c r="L334" s="481" t="n">
        <v>0</v>
      </c>
      <c r="M334" s="480">
        <f>K334*L334</f>
        <v/>
      </c>
    </row>
    <row r="335" hidden="1" outlineLevel="2">
      <c r="A335" s="182" t="n"/>
      <c r="B335" s="183" t="n">
        <v>7</v>
      </c>
      <c r="C335" s="184" t="n"/>
      <c r="D335" s="185" t="inlineStr">
        <is>
          <t>post</t>
        </is>
      </c>
      <c r="E335" s="186">
        <f>K335</f>
        <v/>
      </c>
      <c r="F335" s="477">
        <f>CEILING(L335*$M$7,$M$8)</f>
        <v/>
      </c>
      <c r="G335" s="477">
        <f>ROUND(E335*F335,0)</f>
        <v/>
      </c>
      <c r="H335" s="194" t="n"/>
      <c r="I335" s="189" t="inlineStr">
        <is>
          <t>Vloer</t>
        </is>
      </c>
      <c r="J335" s="194" t="n"/>
      <c r="K335" s="478" t="n">
        <v>0</v>
      </c>
      <c r="L335" s="481" t="n">
        <v>0</v>
      </c>
      <c r="M335" s="480">
        <f>K335*L335</f>
        <v/>
      </c>
    </row>
    <row r="336" hidden="1" outlineLevel="2">
      <c r="A336" s="182" t="n"/>
      <c r="B336" s="183" t="n">
        <v>8</v>
      </c>
      <c r="C336" s="184" t="n"/>
      <c r="D336" s="185" t="inlineStr">
        <is>
          <t>post</t>
        </is>
      </c>
      <c r="E336" s="186">
        <f>K336</f>
        <v/>
      </c>
      <c r="F336" s="477">
        <f>CEILING(L336*$M$7,$M$8)</f>
        <v/>
      </c>
      <c r="G336" s="477">
        <f>ROUND(E336*F336,0)</f>
        <v/>
      </c>
      <c r="H336" s="194" t="n"/>
      <c r="I336" s="189" t="inlineStr">
        <is>
          <t>Vloer</t>
        </is>
      </c>
      <c r="J336" s="194" t="n"/>
      <c r="K336" s="478" t="n">
        <v>0</v>
      </c>
      <c r="L336" s="481" t="n">
        <v>0</v>
      </c>
      <c r="M336" s="480">
        <f>K336*L336</f>
        <v/>
      </c>
    </row>
    <row r="337" hidden="1" outlineLevel="2">
      <c r="A337" s="182" t="n"/>
      <c r="B337" s="183" t="n">
        <v>9</v>
      </c>
      <c r="C337" s="184" t="n"/>
      <c r="D337" s="185" t="inlineStr">
        <is>
          <t>post</t>
        </is>
      </c>
      <c r="E337" s="186">
        <f>K337</f>
        <v/>
      </c>
      <c r="F337" s="477">
        <f>CEILING(L337*$M$7,$M$8)</f>
        <v/>
      </c>
      <c r="G337" s="477">
        <f>ROUND(E337*F337,0)</f>
        <v/>
      </c>
      <c r="H337" s="194" t="n"/>
      <c r="I337" s="189" t="inlineStr">
        <is>
          <t>Vloer</t>
        </is>
      </c>
      <c r="J337" s="194" t="n"/>
      <c r="K337" s="478" t="n">
        <v>0</v>
      </c>
      <c r="L337" s="481" t="n">
        <v>0</v>
      </c>
      <c r="M337" s="480">
        <f>K337*L337</f>
        <v/>
      </c>
    </row>
    <row r="338" hidden="1" outlineLevel="2">
      <c r="A338" s="182" t="n"/>
      <c r="B338" s="183" t="n">
        <v>10</v>
      </c>
      <c r="C338" s="184" t="n"/>
      <c r="D338" s="185" t="inlineStr">
        <is>
          <t>post</t>
        </is>
      </c>
      <c r="E338" s="186">
        <f>K338</f>
        <v/>
      </c>
      <c r="F338" s="477">
        <f>CEILING(L338*$M$7,$M$8)</f>
        <v/>
      </c>
      <c r="G338" s="477">
        <f>ROUND(E338*F338,0)</f>
        <v/>
      </c>
      <c r="H338" s="194" t="n"/>
      <c r="I338" s="189" t="inlineStr">
        <is>
          <t>Vloer</t>
        </is>
      </c>
      <c r="J338" s="194" t="n"/>
      <c r="K338" s="478" t="n">
        <v>0</v>
      </c>
      <c r="L338" s="481" t="n">
        <v>0</v>
      </c>
      <c r="M338" s="480">
        <f>K338*L338</f>
        <v/>
      </c>
    </row>
    <row r="339" hidden="1" outlineLevel="2">
      <c r="A339" s="195" t="n"/>
      <c r="B339" s="219" t="n"/>
      <c r="C339" s="184" t="n"/>
      <c r="D339" s="185" t="inlineStr">
        <is>
          <t>post</t>
        </is>
      </c>
      <c r="E339" s="486" t="n"/>
      <c r="F339" s="477" t="n"/>
      <c r="G339" s="487">
        <f>SUM(G329:G338)</f>
        <v/>
      </c>
      <c r="H339" s="188" t="n"/>
      <c r="I339" s="189" t="n"/>
      <c r="J339" s="188" t="n"/>
      <c r="K339" s="478" t="n"/>
      <c r="L339" s="481" t="n"/>
      <c r="M339" s="489">
        <f>SUM(M329:M332)</f>
        <v/>
      </c>
    </row>
    <row r="340" hidden="1" outlineLevel="2">
      <c r="E340" s="38" t="n"/>
      <c r="F340" s="38" t="n"/>
      <c r="G340" s="482" t="n"/>
      <c r="K340" s="483" t="n"/>
      <c r="M340" s="484" t="n"/>
    </row>
    <row r="341" outlineLevel="1">
      <c r="E341" s="38" t="n"/>
      <c r="F341" s="38" t="n"/>
      <c r="G341" s="38" t="n"/>
      <c r="K341" s="483" t="n"/>
    </row>
    <row r="342" outlineLevel="2">
      <c r="A342" s="179" t="n">
        <v>320</v>
      </c>
      <c r="B342" s="279" t="inlineStr">
        <is>
          <t>INTERIOR WALLS (MS walls / Closed-system walls / Glass walls / Panel walls / Doors, hardware, structural timber, etc.)</t>
        </is>
      </c>
      <c r="C342" s="280" t="n"/>
      <c r="D342" s="280" t="n"/>
      <c r="E342" s="280" t="n"/>
      <c r="F342" s="280" t="n"/>
      <c r="G342" s="280" t="n"/>
      <c r="H342" s="281" t="n"/>
      <c r="I342" s="282" t="n"/>
      <c r="J342" s="281" t="n"/>
      <c r="K342" s="485" t="n"/>
      <c r="L342" s="410" t="n"/>
      <c r="M342" s="199" t="n"/>
    </row>
    <row r="343" outlineLevel="2">
      <c r="A343" s="203" t="n"/>
      <c r="B343" s="405" t="n">
        <v>321</v>
      </c>
      <c r="C343" s="283" t="inlineStr">
        <is>
          <t>MS Walls</t>
        </is>
      </c>
      <c r="D343" s="283" t="n"/>
      <c r="E343" s="284" t="n"/>
      <c r="F343" s="284" t="n"/>
      <c r="G343" s="284" t="n"/>
      <c r="H343" s="285" t="n"/>
      <c r="I343" s="283" t="n"/>
      <c r="J343" s="285" t="n"/>
      <c r="K343" s="204" t="n"/>
      <c r="L343" s="204" t="n"/>
      <c r="M343" s="204" t="n"/>
    </row>
    <row r="344" outlineLevel="2">
      <c r="A344" s="182" t="n"/>
      <c r="B344" s="215" t="n">
        <v>1</v>
      </c>
      <c r="C344" s="206" t="inlineStr">
        <is>
          <t xml:space="preserve">Installation of separation walls </t>
        </is>
      </c>
      <c r="D344" s="185" t="inlineStr">
        <is>
          <t>stelpost</t>
        </is>
      </c>
      <c r="E344" s="186">
        <f>K344</f>
        <v/>
      </c>
      <c r="F344" s="477">
        <f>CEILING(L344*$M$7,$M$8)</f>
        <v/>
      </c>
      <c r="G344" s="477">
        <f>ROUND(E344*F344,0)</f>
        <v/>
      </c>
      <c r="H344" s="188" t="n"/>
      <c r="I344" s="189" t="inlineStr">
        <is>
          <t>Wanden</t>
        </is>
      </c>
      <c r="J344" s="188" t="n"/>
      <c r="K344" s="478" t="n">
        <v>0</v>
      </c>
      <c r="L344" s="481" t="n">
        <v>13482</v>
      </c>
      <c r="M344" s="480">
        <f>K344*L344</f>
        <v/>
      </c>
    </row>
    <row r="345" outlineLevel="2">
      <c r="A345" s="182" t="n"/>
      <c r="B345" s="219" t="n">
        <v>2</v>
      </c>
      <c r="C345" s="184" t="inlineStr">
        <is>
          <t xml:space="preserve">Finish carpentry </t>
        </is>
      </c>
      <c r="D345" s="185" t="inlineStr">
        <is>
          <t>stelpost</t>
        </is>
      </c>
      <c r="E345" s="186">
        <f>K345</f>
        <v/>
      </c>
      <c r="F345" s="477">
        <f>CEILING(L345*$M$7,$M$8)</f>
        <v/>
      </c>
      <c r="G345" s="477">
        <f>ROUND(E345*F345,0)</f>
        <v/>
      </c>
      <c r="H345" s="188" t="n"/>
      <c r="I345" s="189" t="inlineStr">
        <is>
          <t>Wanden</t>
        </is>
      </c>
      <c r="J345" s="188" t="n"/>
      <c r="K345" s="478" t="n">
        <v>0</v>
      </c>
      <c r="L345" s="481" t="n">
        <v>1470</v>
      </c>
      <c r="M345" s="480">
        <f>K345*L345</f>
        <v/>
      </c>
    </row>
    <row r="346" hidden="1" outlineLevel="2">
      <c r="A346" s="182" t="n"/>
      <c r="B346" s="219" t="n">
        <v>3</v>
      </c>
      <c r="C346" s="184" t="inlineStr">
        <is>
          <t>Interior doors in MS walls (including hardware and fittings).</t>
        </is>
      </c>
      <c r="D346" s="185" t="inlineStr">
        <is>
          <t>post</t>
        </is>
      </c>
      <c r="E346" s="186">
        <f>K346</f>
        <v/>
      </c>
      <c r="F346" s="477">
        <f>CEILING(L346*$M$7,$M$8)</f>
        <v/>
      </c>
      <c r="G346" s="477">
        <f>ROUND(E346*F346,0)</f>
        <v/>
      </c>
      <c r="H346" s="188" t="n"/>
      <c r="I346" s="189" t="inlineStr">
        <is>
          <t>Wanden</t>
        </is>
      </c>
      <c r="J346" s="188" t="n"/>
      <c r="K346" s="478" t="n">
        <v>0</v>
      </c>
      <c r="L346" s="481" t="n">
        <v>0</v>
      </c>
      <c r="M346" s="480">
        <f>K346*L346</f>
        <v/>
      </c>
    </row>
    <row r="347" hidden="1" outlineLevel="2" ht="24.6" customHeight="1">
      <c r="A347" s="182" t="n"/>
      <c r="B347" s="215" t="n">
        <v>4</v>
      </c>
      <c r="C347" s="184" t="inlineStr">
        <is>
          <t>Timber and provisions in walls for installations and other purposes. [Describe the item]</t>
        </is>
      </c>
      <c r="D347" s="185" t="inlineStr">
        <is>
          <t>post</t>
        </is>
      </c>
      <c r="E347" s="186">
        <f>K347</f>
        <v/>
      </c>
      <c r="F347" s="477">
        <f>CEILING(L347*$M$7,$M$8)</f>
        <v/>
      </c>
      <c r="G347" s="477">
        <f>ROUND(E347*F347,0)</f>
        <v/>
      </c>
      <c r="H347" s="188" t="n"/>
      <c r="I347" s="189" t="inlineStr">
        <is>
          <t>Wanden</t>
        </is>
      </c>
      <c r="J347" s="188" t="n"/>
      <c r="K347" s="478" t="n">
        <v>0</v>
      </c>
      <c r="L347" s="481" t="n">
        <v>0</v>
      </c>
      <c r="M347" s="480">
        <f>K347*L347</f>
        <v/>
      </c>
    </row>
    <row r="348" hidden="1" outlineLevel="2">
      <c r="A348" s="182" t="n"/>
      <c r="B348" s="183" t="n">
        <v>5</v>
      </c>
      <c r="C348" s="184" t="n"/>
      <c r="D348" s="185" t="inlineStr">
        <is>
          <t>post</t>
        </is>
      </c>
      <c r="E348" s="186">
        <f>K348</f>
        <v/>
      </c>
      <c r="F348" s="477">
        <f>CEILING(L348*$M$7,$M$8)</f>
        <v/>
      </c>
      <c r="G348" s="477">
        <f>ROUND(E348*F348,0)</f>
        <v/>
      </c>
      <c r="H348" s="194" t="n"/>
      <c r="I348" s="189" t="inlineStr">
        <is>
          <t>Wanden</t>
        </is>
      </c>
      <c r="J348" s="194" t="n"/>
      <c r="K348" s="478" t="n">
        <v>0</v>
      </c>
      <c r="L348" s="481" t="n">
        <v>0</v>
      </c>
      <c r="M348" s="480">
        <f>K348*L348</f>
        <v/>
      </c>
    </row>
    <row r="349" hidden="1" outlineLevel="2">
      <c r="A349" s="182" t="n"/>
      <c r="B349" s="183" t="n">
        <v>6</v>
      </c>
      <c r="C349" s="184" t="n"/>
      <c r="D349" s="185" t="inlineStr">
        <is>
          <t>post</t>
        </is>
      </c>
      <c r="E349" s="186">
        <f>K349</f>
        <v/>
      </c>
      <c r="F349" s="477">
        <f>CEILING(L349*$M$7,$M$8)</f>
        <v/>
      </c>
      <c r="G349" s="477">
        <f>ROUND(E349*F349,0)</f>
        <v/>
      </c>
      <c r="H349" s="194" t="n"/>
      <c r="I349" s="189" t="inlineStr">
        <is>
          <t>Wanden</t>
        </is>
      </c>
      <c r="J349" s="194" t="n"/>
      <c r="K349" s="478" t="n">
        <v>0</v>
      </c>
      <c r="L349" s="481" t="n">
        <v>0</v>
      </c>
      <c r="M349" s="480">
        <f>K349*L349</f>
        <v/>
      </c>
    </row>
    <row r="350" hidden="1" outlineLevel="2">
      <c r="A350" s="182" t="n"/>
      <c r="B350" s="183" t="n">
        <v>7</v>
      </c>
      <c r="C350" s="184" t="n"/>
      <c r="D350" s="185" t="inlineStr">
        <is>
          <t>post</t>
        </is>
      </c>
      <c r="E350" s="186">
        <f>K350</f>
        <v/>
      </c>
      <c r="F350" s="477">
        <f>CEILING(L350*$M$7,$M$8)</f>
        <v/>
      </c>
      <c r="G350" s="477">
        <f>ROUND(E350*F350,0)</f>
        <v/>
      </c>
      <c r="H350" s="194" t="n"/>
      <c r="I350" s="189" t="inlineStr">
        <is>
          <t>Wanden</t>
        </is>
      </c>
      <c r="J350" s="194" t="n"/>
      <c r="K350" s="478" t="n">
        <v>0</v>
      </c>
      <c r="L350" s="481" t="n">
        <v>0</v>
      </c>
      <c r="M350" s="480">
        <f>K350*L350</f>
        <v/>
      </c>
    </row>
    <row r="351" hidden="1" outlineLevel="2">
      <c r="A351" s="182" t="n"/>
      <c r="B351" s="183" t="n">
        <v>8</v>
      </c>
      <c r="C351" s="184" t="n"/>
      <c r="D351" s="185" t="inlineStr">
        <is>
          <t>post</t>
        </is>
      </c>
      <c r="E351" s="186">
        <f>K351</f>
        <v/>
      </c>
      <c r="F351" s="477">
        <f>CEILING(L351*$M$7,$M$8)</f>
        <v/>
      </c>
      <c r="G351" s="477">
        <f>ROUND(E351*F351,0)</f>
        <v/>
      </c>
      <c r="H351" s="194" t="n"/>
      <c r="I351" s="189" t="inlineStr">
        <is>
          <t>Wanden</t>
        </is>
      </c>
      <c r="J351" s="194" t="n"/>
      <c r="K351" s="478" t="n">
        <v>0</v>
      </c>
      <c r="L351" s="481" t="n">
        <v>0</v>
      </c>
      <c r="M351" s="480">
        <f>K351*L351</f>
        <v/>
      </c>
    </row>
    <row r="352" hidden="1" outlineLevel="2">
      <c r="A352" s="182" t="n"/>
      <c r="B352" s="183" t="n">
        <v>9</v>
      </c>
      <c r="C352" s="184" t="n"/>
      <c r="D352" s="185" t="inlineStr">
        <is>
          <t>post</t>
        </is>
      </c>
      <c r="E352" s="186">
        <f>K352</f>
        <v/>
      </c>
      <c r="F352" s="477">
        <f>CEILING(L352*$M$7,$M$8)</f>
        <v/>
      </c>
      <c r="G352" s="477">
        <f>ROUND(E352*F352,0)</f>
        <v/>
      </c>
      <c r="H352" s="194" t="n"/>
      <c r="I352" s="189" t="inlineStr">
        <is>
          <t>Wanden</t>
        </is>
      </c>
      <c r="J352" s="194" t="n"/>
      <c r="K352" s="478" t="n">
        <v>0</v>
      </c>
      <c r="L352" s="481" t="n">
        <v>0</v>
      </c>
      <c r="M352" s="480">
        <f>K352*L352</f>
        <v/>
      </c>
    </row>
    <row r="353" hidden="1" outlineLevel="2">
      <c r="A353" s="182" t="n"/>
      <c r="B353" s="183" t="n">
        <v>10</v>
      </c>
      <c r="C353" s="184" t="n"/>
      <c r="D353" s="185" t="inlineStr">
        <is>
          <t>post</t>
        </is>
      </c>
      <c r="E353" s="186">
        <f>K353</f>
        <v/>
      </c>
      <c r="F353" s="477">
        <f>CEILING(L353*$M$7,$M$8)</f>
        <v/>
      </c>
      <c r="G353" s="477">
        <f>ROUND(E353*F353,0)</f>
        <v/>
      </c>
      <c r="H353" s="194" t="n"/>
      <c r="I353" s="189" t="inlineStr">
        <is>
          <t>Wanden</t>
        </is>
      </c>
      <c r="J353" s="194" t="n"/>
      <c r="K353" s="478" t="n">
        <v>0</v>
      </c>
      <c r="L353" s="481" t="n">
        <v>0</v>
      </c>
      <c r="M353" s="480">
        <f>K353*L353</f>
        <v/>
      </c>
    </row>
    <row r="354" outlineLevel="2">
      <c r="A354" s="182" t="n"/>
      <c r="B354" s="215" t="n"/>
      <c r="C354" s="206" t="n"/>
      <c r="D354" s="185" t="n"/>
      <c r="E354" s="486" t="n"/>
      <c r="F354" s="477" t="n"/>
      <c r="G354" s="487">
        <f>SUM(G344:G347)</f>
        <v/>
      </c>
      <c r="H354" s="188" t="n"/>
      <c r="I354" s="189" t="n"/>
      <c r="J354" s="188" t="n"/>
      <c r="K354" s="478" t="n"/>
      <c r="L354" s="479" t="n"/>
      <c r="M354" s="488">
        <f>SUM(M344:M347)</f>
        <v/>
      </c>
    </row>
    <row r="355" outlineLevel="2">
      <c r="A355" s="182" t="n"/>
      <c r="B355" s="405" t="n">
        <v>322</v>
      </c>
      <c r="C355" s="283" t="inlineStr">
        <is>
          <t>Partition walls</t>
        </is>
      </c>
      <c r="D355" s="283" t="n"/>
      <c r="E355" s="284" t="n"/>
      <c r="F355" s="284" t="n"/>
      <c r="G355" s="284" t="n"/>
      <c r="H355" s="285" t="n"/>
      <c r="I355" s="283" t="n"/>
      <c r="J355" s="285" t="n"/>
      <c r="K355" s="204" t="n"/>
      <c r="L355" s="204" t="n"/>
      <c r="M355" s="204" t="n"/>
    </row>
    <row r="356" outlineLevel="2">
      <c r="A356" s="182" t="n"/>
      <c r="B356" s="219" t="n">
        <v>1</v>
      </c>
      <c r="C356" s="184" t="inlineStr">
        <is>
          <t xml:space="preserve">Glazed walls. </t>
        </is>
      </c>
      <c r="D356" s="185" t="inlineStr">
        <is>
          <t>stelpost</t>
        </is>
      </c>
      <c r="E356" s="186">
        <f>K356</f>
        <v/>
      </c>
      <c r="F356" s="477">
        <f>CEILING(L356*$M$7,$M$8)</f>
        <v/>
      </c>
      <c r="G356" s="477">
        <f>ROUND(E356*F356,0)</f>
        <v/>
      </c>
      <c r="H356" s="188" t="n"/>
      <c r="I356" s="189" t="inlineStr">
        <is>
          <t>Wanden</t>
        </is>
      </c>
      <c r="J356" s="188" t="n"/>
      <c r="K356" s="478" t="n">
        <v>0</v>
      </c>
      <c r="L356" s="481" t="n">
        <v>23482</v>
      </c>
      <c r="M356" s="480">
        <f>K356*L356</f>
        <v/>
      </c>
    </row>
    <row r="357" outlineLevel="2">
      <c r="A357" s="182" t="n"/>
      <c r="B357" s="219" t="n">
        <v>2</v>
      </c>
      <c r="C357" s="184" t="inlineStr">
        <is>
          <t>Provisional sum for the curved glazing.</t>
        </is>
      </c>
      <c r="D357" s="185" t="inlineStr">
        <is>
          <t>stelpost</t>
        </is>
      </c>
      <c r="E357" s="186">
        <f>K357</f>
        <v/>
      </c>
      <c r="F357" s="477">
        <f>CEILING(L357*$M$7,$M$8)</f>
        <v/>
      </c>
      <c r="G357" s="477">
        <f>ROUND(E357*F357,0)</f>
        <v/>
      </c>
      <c r="H357" s="188" t="n"/>
      <c r="I357" s="189" t="inlineStr">
        <is>
          <t>Wanden</t>
        </is>
      </c>
      <c r="J357" s="188" t="n"/>
      <c r="K357" s="478" t="n">
        <v>0</v>
      </c>
      <c r="L357" s="481" t="n">
        <v>4707</v>
      </c>
      <c r="M357" s="480">
        <f>K357*L357</f>
        <v/>
      </c>
    </row>
    <row r="358" outlineLevel="2">
      <c r="A358" s="182" t="n"/>
      <c r="B358" s="215" t="n">
        <v>3</v>
      </c>
      <c r="C358" s="184" t="inlineStr">
        <is>
          <t xml:space="preserve">Sound insulation 38 dBA above the ceiling. </t>
        </is>
      </c>
      <c r="D358" s="185" t="inlineStr">
        <is>
          <t>stelpost</t>
        </is>
      </c>
      <c r="E358" s="186">
        <f>K358</f>
        <v/>
      </c>
      <c r="F358" s="477">
        <f>CEILING(L358*$M$7,$M$8)</f>
        <v/>
      </c>
      <c r="G358" s="477">
        <f>ROUND(E358*F358,0)</f>
        <v/>
      </c>
      <c r="H358" s="188" t="n"/>
      <c r="I358" s="189" t="inlineStr">
        <is>
          <t>Wanden</t>
        </is>
      </c>
      <c r="J358" s="188" t="n"/>
      <c r="K358" s="478" t="n">
        <v>0</v>
      </c>
      <c r="L358" s="481" t="n">
        <v>105</v>
      </c>
      <c r="M358" s="480">
        <f>K358*L358</f>
        <v/>
      </c>
    </row>
    <row r="359" outlineLevel="2">
      <c r="A359" s="182" t="n"/>
      <c r="B359" s="219" t="n">
        <v>4</v>
      </c>
      <c r="C359" s="184" t="inlineStr">
        <is>
          <t>Installation of plinths.</t>
        </is>
      </c>
      <c r="D359" s="185" t="inlineStr">
        <is>
          <t>stelpost</t>
        </is>
      </c>
      <c r="E359" s="186">
        <f>K359</f>
        <v/>
      </c>
      <c r="F359" s="477">
        <f>CEILING(L359*$M$7,$M$8)</f>
        <v/>
      </c>
      <c r="G359" s="477">
        <f>ROUND(E359*F359,0)</f>
        <v/>
      </c>
      <c r="H359" s="188" t="n"/>
      <c r="I359" s="189" t="inlineStr">
        <is>
          <t>Wanden</t>
        </is>
      </c>
      <c r="J359" s="188" t="n"/>
      <c r="K359" s="478" t="n">
        <v>0</v>
      </c>
      <c r="L359" s="481" t="n">
        <v>14</v>
      </c>
      <c r="M359" s="480">
        <f>K359*L359</f>
        <v/>
      </c>
    </row>
    <row r="360" outlineLevel="2">
      <c r="A360" s="182" t="n"/>
      <c r="B360" s="219" t="n">
        <v>5</v>
      </c>
      <c r="C360" s="184" t="inlineStr">
        <is>
          <t>Installation of architrave.</t>
        </is>
      </c>
      <c r="D360" s="185" t="inlineStr">
        <is>
          <t>stelpost</t>
        </is>
      </c>
      <c r="E360" s="186">
        <f>K360</f>
        <v/>
      </c>
      <c r="F360" s="477">
        <f>CEILING(L360*$M$7,$M$8)</f>
        <v/>
      </c>
      <c r="G360" s="477">
        <f>ROUND(E360*F360,0)</f>
        <v/>
      </c>
      <c r="H360" s="188" t="n"/>
      <c r="I360" s="189" t="inlineStr">
        <is>
          <t>Wanden</t>
        </is>
      </c>
      <c r="J360" s="188" t="n"/>
      <c r="K360" s="478" t="n">
        <v>0</v>
      </c>
      <c r="L360" s="481" t="n">
        <v>11</v>
      </c>
      <c r="M360" s="480">
        <f>K360*L360</f>
        <v/>
      </c>
    </row>
    <row r="361" hidden="1" outlineLevel="2" ht="24.6" customHeight="1">
      <c r="A361" s="182" t="n"/>
      <c r="B361" s="215" t="n">
        <v>6</v>
      </c>
      <c r="C361" s="184" t="inlineStr">
        <is>
          <t>Timber framing and provisions in walls for installations and other purposes. [Describe item]</t>
        </is>
      </c>
      <c r="D361" s="185" t="inlineStr">
        <is>
          <t>post</t>
        </is>
      </c>
      <c r="E361" s="186">
        <f>K361</f>
        <v/>
      </c>
      <c r="F361" s="477">
        <f>CEILING(L361*$M$7,$M$8)</f>
        <v/>
      </c>
      <c r="G361" s="477">
        <f>ROUND(E361*F361,0)</f>
        <v/>
      </c>
      <c r="H361" s="188" t="n"/>
      <c r="I361" s="189" t="inlineStr">
        <is>
          <t>Wanden</t>
        </is>
      </c>
      <c r="J361" s="188" t="n"/>
      <c r="K361" s="478" t="n">
        <v>0</v>
      </c>
      <c r="L361" s="481" t="n">
        <v>0</v>
      </c>
      <c r="M361" s="480">
        <f>K361*L361</f>
        <v/>
      </c>
    </row>
    <row r="362" hidden="1" outlineLevel="2">
      <c r="A362" s="182" t="n"/>
      <c r="B362" s="219" t="n">
        <v>7</v>
      </c>
      <c r="C362" s="184" t="n"/>
      <c r="D362" s="185" t="inlineStr">
        <is>
          <t>post</t>
        </is>
      </c>
      <c r="E362" s="186">
        <f>K362</f>
        <v/>
      </c>
      <c r="F362" s="477">
        <f>CEILING(L362*$M$7,$M$8)</f>
        <v/>
      </c>
      <c r="G362" s="477">
        <f>ROUND(E362*F362,0)</f>
        <v/>
      </c>
      <c r="H362" s="194" t="n"/>
      <c r="I362" s="189" t="inlineStr">
        <is>
          <t>Wanden</t>
        </is>
      </c>
      <c r="J362" s="194" t="n"/>
      <c r="K362" s="478" t="n">
        <v>0</v>
      </c>
      <c r="L362" s="481" t="n">
        <v>0</v>
      </c>
      <c r="M362" s="480">
        <f>K362*L362</f>
        <v/>
      </c>
    </row>
    <row r="363" hidden="1" outlineLevel="2">
      <c r="A363" s="182" t="n"/>
      <c r="B363" s="215" t="n">
        <v>8</v>
      </c>
      <c r="C363" s="184" t="n"/>
      <c r="D363" s="185" t="inlineStr">
        <is>
          <t>post</t>
        </is>
      </c>
      <c r="E363" s="186">
        <f>K363</f>
        <v/>
      </c>
      <c r="F363" s="477">
        <f>CEILING(L363*$M$7,$M$8)</f>
        <v/>
      </c>
      <c r="G363" s="477">
        <f>ROUND(E363*F363,0)</f>
        <v/>
      </c>
      <c r="H363" s="194" t="n"/>
      <c r="I363" s="189" t="inlineStr">
        <is>
          <t>Wanden</t>
        </is>
      </c>
      <c r="J363" s="194" t="n"/>
      <c r="K363" s="478" t="n">
        <v>0</v>
      </c>
      <c r="L363" s="481" t="n">
        <v>0</v>
      </c>
      <c r="M363" s="480">
        <f>K363*L363</f>
        <v/>
      </c>
    </row>
    <row r="364" hidden="1" outlineLevel="2">
      <c r="A364" s="182" t="n"/>
      <c r="B364" s="219" t="n">
        <v>9</v>
      </c>
      <c r="C364" s="184" t="n"/>
      <c r="D364" s="185" t="inlineStr">
        <is>
          <t>post</t>
        </is>
      </c>
      <c r="E364" s="186">
        <f>K364</f>
        <v/>
      </c>
      <c r="F364" s="477">
        <f>CEILING(L364*$M$7,$M$8)</f>
        <v/>
      </c>
      <c r="G364" s="477">
        <f>ROUND(E364*F364,0)</f>
        <v/>
      </c>
      <c r="H364" s="194" t="n"/>
      <c r="I364" s="189" t="inlineStr">
        <is>
          <t>Wanden</t>
        </is>
      </c>
      <c r="J364" s="194" t="n"/>
      <c r="K364" s="478" t="n">
        <v>0</v>
      </c>
      <c r="L364" s="481" t="n">
        <v>0</v>
      </c>
      <c r="M364" s="480">
        <f>K364*L364</f>
        <v/>
      </c>
    </row>
    <row r="365" hidden="1" outlineLevel="2">
      <c r="A365" s="182" t="n"/>
      <c r="B365" s="215" t="n">
        <v>10</v>
      </c>
      <c r="C365" s="184" t="n"/>
      <c r="D365" s="185" t="inlineStr">
        <is>
          <t>post</t>
        </is>
      </c>
      <c r="E365" s="186">
        <f>K365</f>
        <v/>
      </c>
      <c r="F365" s="477">
        <f>CEILING(L365*$M$7,$M$8)</f>
        <v/>
      </c>
      <c r="G365" s="477">
        <f>ROUND(E365*F365,0)</f>
        <v/>
      </c>
      <c r="H365" s="194" t="n"/>
      <c r="I365" s="189" t="inlineStr">
        <is>
          <t>Wanden</t>
        </is>
      </c>
      <c r="J365" s="194" t="n"/>
      <c r="K365" s="478" t="n">
        <v>0</v>
      </c>
      <c r="L365" s="481" t="n">
        <v>0</v>
      </c>
      <c r="M365" s="480">
        <f>K365*L365</f>
        <v/>
      </c>
    </row>
    <row r="366" hidden="1" outlineLevel="2">
      <c r="A366" s="182" t="n"/>
      <c r="B366" s="219" t="n">
        <v>11</v>
      </c>
      <c r="C366" s="184" t="n"/>
      <c r="D366" s="185" t="inlineStr">
        <is>
          <t>post</t>
        </is>
      </c>
      <c r="E366" s="186">
        <f>K366</f>
        <v/>
      </c>
      <c r="F366" s="477">
        <f>CEILING(L366*$M$7,$M$8)</f>
        <v/>
      </c>
      <c r="G366" s="477">
        <f>ROUND(E366*F366,0)</f>
        <v/>
      </c>
      <c r="H366" s="194" t="n"/>
      <c r="I366" s="189" t="inlineStr">
        <is>
          <t>Wanden</t>
        </is>
      </c>
      <c r="J366" s="194" t="n"/>
      <c r="K366" s="478" t="n">
        <v>0</v>
      </c>
      <c r="L366" s="481" t="n">
        <v>0</v>
      </c>
      <c r="M366" s="480">
        <f>K366*L366</f>
        <v/>
      </c>
    </row>
    <row r="367" hidden="1" outlineLevel="2">
      <c r="A367" s="182" t="n"/>
      <c r="B367" s="215" t="n">
        <v>12</v>
      </c>
      <c r="C367" s="184" t="n"/>
      <c r="D367" s="185" t="inlineStr">
        <is>
          <t>post</t>
        </is>
      </c>
      <c r="E367" s="186">
        <f>K367</f>
        <v/>
      </c>
      <c r="F367" s="477">
        <f>CEILING(L367*$M$7,$M$8)</f>
        <v/>
      </c>
      <c r="G367" s="477">
        <f>ROUND(E367*F367,0)</f>
        <v/>
      </c>
      <c r="H367" s="194" t="n"/>
      <c r="I367" s="189" t="inlineStr">
        <is>
          <t>Wanden</t>
        </is>
      </c>
      <c r="J367" s="194" t="n"/>
      <c r="K367" s="478" t="n">
        <v>0</v>
      </c>
      <c r="L367" s="481" t="n">
        <v>0</v>
      </c>
      <c r="M367" s="480">
        <f>K367*L367</f>
        <v/>
      </c>
    </row>
    <row r="368" outlineLevel="2">
      <c r="A368" s="182" t="n"/>
      <c r="B368" s="215" t="n"/>
      <c r="C368" s="206" t="n"/>
      <c r="D368" s="185" t="n"/>
      <c r="E368" s="486" t="n"/>
      <c r="F368" s="477" t="n"/>
      <c r="G368" s="487">
        <f>SUM(G356:G361)</f>
        <v/>
      </c>
      <c r="H368" s="188" t="n"/>
      <c r="I368" s="189" t="n"/>
      <c r="J368" s="188" t="n"/>
      <c r="K368" s="478" t="n"/>
      <c r="L368" s="479" t="n"/>
      <c r="M368" s="488">
        <f>SUM(M356:M361)</f>
        <v/>
      </c>
    </row>
    <row r="369" outlineLevel="2">
      <c r="A369" s="182" t="n"/>
      <c r="B369" s="405" t="n">
        <v>323</v>
      </c>
      <c r="C369" s="283" t="inlineStr">
        <is>
          <t>Doors</t>
        </is>
      </c>
      <c r="D369" s="283" t="n"/>
      <c r="E369" s="284" t="n"/>
      <c r="F369" s="284" t="n"/>
      <c r="G369" s="284" t="n"/>
      <c r="H369" s="285" t="n"/>
      <c r="I369" s="283" t="n"/>
      <c r="J369" s="285" t="n"/>
      <c r="K369" s="204" t="n"/>
      <c r="L369" s="204" t="n"/>
      <c r="M369" s="204" t="n"/>
    </row>
    <row r="370" outlineLevel="2">
      <c r="A370" s="182" t="n"/>
      <c r="B370" s="219" t="n">
        <v>1</v>
      </c>
      <c r="C370" s="184" t="inlineStr">
        <is>
          <t>Hardwood indoor doors, incliding hardware.</t>
        </is>
      </c>
      <c r="D370" s="185" t="inlineStr">
        <is>
          <t>stelpost</t>
        </is>
      </c>
      <c r="E370" s="186">
        <f>K370</f>
        <v/>
      </c>
      <c r="F370" s="477">
        <f>CEILING(L370*$M$7,$M$8)</f>
        <v/>
      </c>
      <c r="G370" s="477">
        <f>ROUND(E370*F370,0)</f>
        <v/>
      </c>
      <c r="H370" s="188" t="n"/>
      <c r="I370" s="189" t="inlineStr">
        <is>
          <t>Wanden</t>
        </is>
      </c>
      <c r="J370" s="188" t="n"/>
      <c r="K370" s="478" t="n">
        <v>0</v>
      </c>
      <c r="L370" s="481" t="n">
        <v>8437</v>
      </c>
      <c r="M370" s="480">
        <f>K370*L370</f>
        <v/>
      </c>
    </row>
    <row r="371" hidden="1" outlineLevel="2">
      <c r="A371" s="182" t="n"/>
      <c r="B371" s="219" t="n">
        <v>2</v>
      </c>
      <c r="C371" s="184" t="inlineStr">
        <is>
          <t>Layout plan for internal doors.</t>
        </is>
      </c>
      <c r="D371" s="185" t="inlineStr">
        <is>
          <t>post</t>
        </is>
      </c>
      <c r="E371" s="186">
        <f>K371</f>
        <v/>
      </c>
      <c r="F371" s="477">
        <f>CEILING(L371*$M$7,$M$8)</f>
        <v/>
      </c>
      <c r="G371" s="477">
        <f>ROUND(E371*F371,0)</f>
        <v/>
      </c>
      <c r="H371" s="188" t="n"/>
      <c r="I371" s="189" t="inlineStr">
        <is>
          <t>Wanden</t>
        </is>
      </c>
      <c r="J371" s="188" t="n"/>
      <c r="K371" s="478" t="n">
        <v>0</v>
      </c>
      <c r="L371" s="481" t="n">
        <v>0</v>
      </c>
      <c r="M371" s="480">
        <f>K371*L371</f>
        <v/>
      </c>
    </row>
    <row r="372" outlineLevel="2">
      <c r="A372" s="195" t="n"/>
      <c r="B372" s="219" t="n"/>
      <c r="C372" s="184" t="n"/>
      <c r="D372" s="185" t="inlineStr">
        <is>
          <t>stelpost</t>
        </is>
      </c>
      <c r="E372" s="486" t="n"/>
      <c r="F372" s="477" t="n"/>
      <c r="G372" s="487">
        <f>SUM(G370:G371)</f>
        <v/>
      </c>
      <c r="H372" s="188" t="n"/>
      <c r="I372" s="189" t="n"/>
      <c r="J372" s="188" t="n"/>
      <c r="K372" s="478" t="n"/>
      <c r="L372" s="481" t="n"/>
      <c r="M372" s="489">
        <f>SUM(M370:M371)</f>
        <v/>
      </c>
    </row>
    <row r="373" outlineLevel="2">
      <c r="E373" s="38" t="n"/>
      <c r="F373" s="38" t="n"/>
      <c r="G373" s="482" t="n"/>
      <c r="K373" s="483" t="n"/>
      <c r="M373" s="484" t="n"/>
    </row>
    <row r="374" outlineLevel="1">
      <c r="E374" s="38" t="n"/>
      <c r="F374" s="38" t="n"/>
      <c r="G374" s="38" t="n"/>
      <c r="K374" s="483" t="n"/>
    </row>
    <row r="375" outlineLevel="2">
      <c r="A375" s="179" t="n">
        <v>330</v>
      </c>
      <c r="B375" s="279" t="inlineStr">
        <is>
          <t>FINISHING (Paintwork / Wallpaper / Concrete Cire, etc.)</t>
        </is>
      </c>
      <c r="C375" s="280" t="n"/>
      <c r="D375" s="280" t="n"/>
      <c r="E375" s="280" t="n"/>
      <c r="F375" s="280" t="n"/>
      <c r="G375" s="280" t="n"/>
      <c r="H375" s="281" t="n"/>
      <c r="I375" s="282" t="n"/>
      <c r="J375" s="281" t="n"/>
      <c r="K375" s="485" t="n"/>
      <c r="L375" s="410" t="n"/>
      <c r="M375" s="199" t="n"/>
    </row>
    <row r="376" outlineLevel="2">
      <c r="A376" s="182" t="n"/>
      <c r="B376" s="215" t="n">
        <v>1</v>
      </c>
      <c r="C376" s="206" t="inlineStr">
        <is>
          <t xml:space="preserve">Stucco for all the closed walls. </t>
        </is>
      </c>
      <c r="D376" s="185" t="inlineStr">
        <is>
          <t>stelpost</t>
        </is>
      </c>
      <c r="E376" s="186">
        <f>K376</f>
        <v/>
      </c>
      <c r="F376" s="477">
        <f>CEILING(L376*$M$7,$M$8)</f>
        <v/>
      </c>
      <c r="G376" s="477">
        <f>ROUND(E376*F376,0)</f>
        <v/>
      </c>
      <c r="H376" s="188" t="n"/>
      <c r="I376" s="189" t="inlineStr">
        <is>
          <t>Wandafwerk</t>
        </is>
      </c>
      <c r="J376" s="188" t="n"/>
      <c r="K376" s="478" t="n">
        <v>0</v>
      </c>
      <c r="L376" s="481" t="n">
        <v>8437</v>
      </c>
      <c r="M376" s="480">
        <f>K376*L376</f>
        <v/>
      </c>
    </row>
    <row r="377" outlineLevel="2" ht="24.95" customHeight="1">
      <c r="A377" s="182" t="n"/>
      <c r="B377" s="219" t="n">
        <v>2</v>
      </c>
      <c r="C377" s="184" t="inlineStr">
        <is>
          <t xml:space="preserve">Paintwork for all the closed walls </t>
        </is>
      </c>
      <c r="D377" s="185" t="inlineStr">
        <is>
          <t>stelpost</t>
        </is>
      </c>
      <c r="E377" s="186">
        <f>K377</f>
        <v/>
      </c>
      <c r="F377" s="477">
        <f>CEILING(L377*$M$7,$M$8)</f>
        <v/>
      </c>
      <c r="G377" s="477">
        <f>ROUND(E377*F377,0)</f>
        <v/>
      </c>
      <c r="H377" s="188" t="n"/>
      <c r="I377" s="189" t="inlineStr">
        <is>
          <t>Wandafwerk</t>
        </is>
      </c>
      <c r="J377" s="188" t="n"/>
      <c r="K377" s="478" t="n">
        <v>0</v>
      </c>
      <c r="L377" s="481" t="n">
        <v>5171</v>
      </c>
      <c r="M377" s="480">
        <f>K377*L377</f>
        <v/>
      </c>
    </row>
    <row r="378" hidden="1" outlineLevel="2">
      <c r="A378" s="182" t="n"/>
      <c r="B378" s="219" t="n">
        <v>3</v>
      </c>
      <c r="C378" s="184" t="inlineStr">
        <is>
          <t>Wallpaper / BetonCire. [Specify type, substrate requirements, etc.]</t>
        </is>
      </c>
      <c r="D378" s="185" t="inlineStr">
        <is>
          <t>post</t>
        </is>
      </c>
      <c r="E378" s="186">
        <f>K378</f>
        <v/>
      </c>
      <c r="F378" s="477">
        <f>CEILING(L378*$M$7,$M$8)</f>
        <v/>
      </c>
      <c r="G378" s="477">
        <f>ROUND(E378*F378,0)</f>
        <v/>
      </c>
      <c r="H378" s="188" t="n"/>
      <c r="I378" s="189" t="inlineStr">
        <is>
          <t>Wandafwerk</t>
        </is>
      </c>
      <c r="J378" s="188" t="n"/>
      <c r="K378" s="478" t="n">
        <v>0</v>
      </c>
      <c r="L378" s="481" t="n">
        <v>0</v>
      </c>
      <c r="M378" s="480">
        <f>K378*L378</f>
        <v/>
      </c>
    </row>
    <row r="379" hidden="1" outlineLevel="2">
      <c r="A379" s="182" t="n"/>
      <c r="B379" s="219" t="n">
        <v>4</v>
      </c>
      <c r="C379" s="184" t="inlineStr">
        <is>
          <t>Acoustic finish …. [Specify]</t>
        </is>
      </c>
      <c r="D379" s="185" t="inlineStr">
        <is>
          <t>post</t>
        </is>
      </c>
      <c r="E379" s="186">
        <f>K379</f>
        <v/>
      </c>
      <c r="F379" s="477">
        <f>CEILING(L379*$M$7,$M$8)</f>
        <v/>
      </c>
      <c r="G379" s="477">
        <f>ROUND(E379*F379,0)</f>
        <v/>
      </c>
      <c r="H379" s="188" t="n"/>
      <c r="I379" s="189" t="inlineStr">
        <is>
          <t>Wandafwerk</t>
        </is>
      </c>
      <c r="J379" s="188" t="n"/>
      <c r="K379" s="478" t="n">
        <v>0</v>
      </c>
      <c r="L379" s="481" t="n">
        <v>0</v>
      </c>
      <c r="M379" s="480">
        <f>K379*L379</f>
        <v/>
      </c>
    </row>
    <row r="380" hidden="1" outlineLevel="2">
      <c r="A380" s="182" t="n"/>
      <c r="B380" s="183" t="n">
        <v>5</v>
      </c>
      <c r="C380" s="184" t="n"/>
      <c r="D380" s="185" t="inlineStr">
        <is>
          <t>post</t>
        </is>
      </c>
      <c r="E380" s="186">
        <f>K380</f>
        <v/>
      </c>
      <c r="F380" s="477">
        <f>CEILING(L380*$M$7,$M$8)</f>
        <v/>
      </c>
      <c r="G380" s="477">
        <f>ROUND(E380*F380,0)</f>
        <v/>
      </c>
      <c r="H380" s="194" t="n"/>
      <c r="I380" s="189" t="inlineStr">
        <is>
          <t>Wandafwerk</t>
        </is>
      </c>
      <c r="J380" s="194" t="n"/>
      <c r="K380" s="478" t="n">
        <v>0</v>
      </c>
      <c r="L380" s="481" t="n">
        <v>0</v>
      </c>
      <c r="M380" s="480">
        <f>K380*L380</f>
        <v/>
      </c>
    </row>
    <row r="381" hidden="1" outlineLevel="2">
      <c r="A381" s="182" t="n"/>
      <c r="B381" s="183" t="n">
        <v>6</v>
      </c>
      <c r="C381" s="184" t="n"/>
      <c r="D381" s="185" t="inlineStr">
        <is>
          <t>post</t>
        </is>
      </c>
      <c r="E381" s="186">
        <f>K381</f>
        <v/>
      </c>
      <c r="F381" s="477">
        <f>CEILING(L381*$M$7,$M$8)</f>
        <v/>
      </c>
      <c r="G381" s="477">
        <f>ROUND(E381*F381,0)</f>
        <v/>
      </c>
      <c r="H381" s="194" t="n"/>
      <c r="I381" s="189" t="inlineStr">
        <is>
          <t>Wandafwerk</t>
        </is>
      </c>
      <c r="J381" s="194" t="n"/>
      <c r="K381" s="478" t="n">
        <v>0</v>
      </c>
      <c r="L381" s="481" t="n">
        <v>0</v>
      </c>
      <c r="M381" s="480">
        <f>K381*L381</f>
        <v/>
      </c>
    </row>
    <row r="382" hidden="1" outlineLevel="2">
      <c r="A382" s="182" t="n"/>
      <c r="B382" s="183" t="n">
        <v>7</v>
      </c>
      <c r="C382" s="184" t="n"/>
      <c r="D382" s="185" t="inlineStr">
        <is>
          <t>post</t>
        </is>
      </c>
      <c r="E382" s="186">
        <f>K382</f>
        <v/>
      </c>
      <c r="F382" s="477">
        <f>CEILING(L382*$M$7,$M$8)</f>
        <v/>
      </c>
      <c r="G382" s="477">
        <f>ROUND(E382*F382,0)</f>
        <v/>
      </c>
      <c r="H382" s="194" t="n"/>
      <c r="I382" s="189" t="inlineStr">
        <is>
          <t>Wandafwerk</t>
        </is>
      </c>
      <c r="J382" s="194" t="n"/>
      <c r="K382" s="478" t="n">
        <v>0</v>
      </c>
      <c r="L382" s="481" t="n">
        <v>0</v>
      </c>
      <c r="M382" s="480">
        <f>K382*L382</f>
        <v/>
      </c>
    </row>
    <row r="383" hidden="1" outlineLevel="2">
      <c r="A383" s="182" t="n"/>
      <c r="B383" s="183" t="n">
        <v>8</v>
      </c>
      <c r="C383" s="184" t="n"/>
      <c r="D383" s="185" t="inlineStr">
        <is>
          <t>post</t>
        </is>
      </c>
      <c r="E383" s="186">
        <f>K383</f>
        <v/>
      </c>
      <c r="F383" s="477">
        <f>CEILING(L383*$M$7,$M$8)</f>
        <v/>
      </c>
      <c r="G383" s="477">
        <f>ROUND(E383*F383,0)</f>
        <v/>
      </c>
      <c r="H383" s="194" t="n"/>
      <c r="I383" s="189" t="inlineStr">
        <is>
          <t>Wandafwerk</t>
        </is>
      </c>
      <c r="J383" s="194" t="n"/>
      <c r="K383" s="478" t="n">
        <v>0</v>
      </c>
      <c r="L383" s="481" t="n">
        <v>0</v>
      </c>
      <c r="M383" s="480">
        <f>K383*L383</f>
        <v/>
      </c>
    </row>
    <row r="384" hidden="1" outlineLevel="2">
      <c r="A384" s="182" t="n"/>
      <c r="B384" s="183" t="n">
        <v>9</v>
      </c>
      <c r="C384" s="184" t="n"/>
      <c r="D384" s="185" t="inlineStr">
        <is>
          <t>post</t>
        </is>
      </c>
      <c r="E384" s="186">
        <f>K384</f>
        <v/>
      </c>
      <c r="F384" s="477">
        <f>CEILING(L384*$M$7,$M$8)</f>
        <v/>
      </c>
      <c r="G384" s="477">
        <f>ROUND(E384*F384,0)</f>
        <v/>
      </c>
      <c r="H384" s="194" t="n"/>
      <c r="I384" s="189" t="inlineStr">
        <is>
          <t>Wandafwerk</t>
        </is>
      </c>
      <c r="J384" s="194" t="n"/>
      <c r="K384" s="478" t="n">
        <v>0</v>
      </c>
      <c r="L384" s="481" t="n">
        <v>0</v>
      </c>
      <c r="M384" s="480">
        <f>K384*L384</f>
        <v/>
      </c>
    </row>
    <row r="385" hidden="1" outlineLevel="2">
      <c r="A385" s="182" t="n"/>
      <c r="B385" s="183" t="n">
        <v>10</v>
      </c>
      <c r="C385" s="184" t="n"/>
      <c r="D385" s="185" t="inlineStr">
        <is>
          <t>post</t>
        </is>
      </c>
      <c r="E385" s="186">
        <f>K385</f>
        <v/>
      </c>
      <c r="F385" s="477">
        <f>CEILING(L385*$M$7,$M$8)</f>
        <v/>
      </c>
      <c r="G385" s="477">
        <f>ROUND(E385*F385,0)</f>
        <v/>
      </c>
      <c r="H385" s="194" t="n"/>
      <c r="I385" s="189" t="inlineStr">
        <is>
          <t>Wandafwerk</t>
        </is>
      </c>
      <c r="J385" s="194" t="n"/>
      <c r="K385" s="478" t="n">
        <v>0</v>
      </c>
      <c r="L385" s="481" t="n">
        <v>0</v>
      </c>
      <c r="M385" s="480">
        <f>K385*L385</f>
        <v/>
      </c>
    </row>
    <row r="386" hidden="1" outlineLevel="2">
      <c r="A386" s="195" t="n"/>
      <c r="B386" s="219" t="n"/>
      <c r="C386" s="184" t="n"/>
      <c r="D386" s="185" t="n"/>
      <c r="E386" s="486" t="n"/>
      <c r="F386" s="477" t="n"/>
      <c r="G386" s="477" t="n"/>
      <c r="H386" s="188" t="n"/>
      <c r="I386" s="189" t="n"/>
      <c r="J386" s="188" t="n"/>
      <c r="K386" s="478" t="n"/>
      <c r="L386" s="481" t="n"/>
      <c r="M386" s="480" t="n"/>
    </row>
    <row r="387" outlineLevel="2">
      <c r="E387" s="38" t="n"/>
      <c r="F387" s="38" t="n"/>
      <c r="G387" s="482">
        <f>SUM(G376:G386)</f>
        <v/>
      </c>
      <c r="K387" s="483" t="n"/>
      <c r="M387" s="484">
        <f>SUM(M376:M386)</f>
        <v/>
      </c>
    </row>
    <row r="388" outlineLevel="1">
      <c r="E388" s="38" t="n"/>
      <c r="F388" s="38" t="n"/>
      <c r="G388" s="38" t="n"/>
      <c r="K388" s="483" t="n"/>
    </row>
    <row r="389" outlineLevel="2">
      <c r="A389" s="179" t="n">
        <v>340</v>
      </c>
      <c r="B389" s="279" t="inlineStr">
        <is>
          <t>CEILING</t>
        </is>
      </c>
      <c r="C389" s="280" t="n"/>
      <c r="D389" s="280" t="n"/>
      <c r="E389" s="280" t="n"/>
      <c r="F389" s="280" t="n"/>
      <c r="G389" s="280" t="n"/>
      <c r="H389" s="281" t="n"/>
      <c r="I389" s="282" t="n"/>
      <c r="J389" s="281" t="n"/>
      <c r="K389" s="485" t="n"/>
      <c r="L389" s="410" t="n"/>
      <c r="M389" s="199" t="n"/>
    </row>
    <row r="390" outlineLevel="2">
      <c r="A390" s="182" t="n"/>
      <c r="B390" s="215" t="n">
        <v>1</v>
      </c>
      <c r="C390" s="206" t="inlineStr">
        <is>
          <t xml:space="preserve">Adapting the suspended ceiling to the new layout. PROVISIONAL SUM </t>
        </is>
      </c>
      <c r="D390" s="185" t="inlineStr">
        <is>
          <t>stelpost</t>
        </is>
      </c>
      <c r="E390" s="186">
        <f>K390</f>
        <v/>
      </c>
      <c r="F390" s="477">
        <f>CEILING(L390*$M$7,$M$8)</f>
        <v/>
      </c>
      <c r="G390" s="477">
        <f>ROUND(E390*F390,0)</f>
        <v/>
      </c>
      <c r="H390" s="188" t="n"/>
      <c r="I390" s="189" t="inlineStr">
        <is>
          <t>Plafond</t>
        </is>
      </c>
      <c r="J390" s="188" t="n"/>
      <c r="K390" s="478" t="n">
        <v>0</v>
      </c>
      <c r="L390" s="481" t="n">
        <v>5000</v>
      </c>
      <c r="M390" s="480">
        <f>K390*L390</f>
        <v/>
      </c>
    </row>
    <row r="391" hidden="1" outlineLevel="2" ht="24.95" customHeight="1">
      <c r="A391" s="182" t="n"/>
      <c r="B391" s="219" t="n">
        <v>2</v>
      </c>
      <c r="C391" s="184" t="inlineStr">
        <is>
          <t>Opening and closing the suspended ceiling to allow work to be carried out above the ceiling. [Describe]</t>
        </is>
      </c>
      <c r="D391" s="185" t="inlineStr">
        <is>
          <t>post</t>
        </is>
      </c>
      <c r="E391" s="186">
        <f>K391</f>
        <v/>
      </c>
      <c r="F391" s="477">
        <f>CEILING(L391*$M$7,$M$8)</f>
        <v/>
      </c>
      <c r="G391" s="477">
        <f>ROUND(E391*F391,0)</f>
        <v/>
      </c>
      <c r="H391" s="188" t="n"/>
      <c r="I391" s="189" t="inlineStr">
        <is>
          <t>Plafond</t>
        </is>
      </c>
      <c r="J391" s="188" t="n"/>
      <c r="K391" s="478" t="n">
        <v>0</v>
      </c>
      <c r="L391" s="481" t="n">
        <v>0</v>
      </c>
      <c r="M391" s="480">
        <f>K391*L391</f>
        <v/>
      </c>
    </row>
    <row r="392" hidden="1" outlineLevel="2">
      <c r="A392" s="182" t="n"/>
      <c r="B392" s="219" t="n">
        <v>3</v>
      </c>
      <c r="C392" s="184" t="inlineStr">
        <is>
          <t>Loss of ceiling panels / replacement of ceiling panels due to damage.</t>
        </is>
      </c>
      <c r="D392" s="185" t="inlineStr">
        <is>
          <t>post</t>
        </is>
      </c>
      <c r="E392" s="186">
        <f>K392</f>
        <v/>
      </c>
      <c r="F392" s="477">
        <f>CEILING(L392*$M$7,$M$8)</f>
        <v/>
      </c>
      <c r="G392" s="477">
        <f>ROUND(E392*F392,0)</f>
        <v/>
      </c>
      <c r="H392" s="188" t="n"/>
      <c r="I392" s="189" t="inlineStr">
        <is>
          <t>Plafond</t>
        </is>
      </c>
      <c r="J392" s="188" t="n"/>
      <c r="K392" s="478" t="n">
        <v>0</v>
      </c>
      <c r="L392" s="481" t="n">
        <v>0</v>
      </c>
      <c r="M392" s="480">
        <f>K392*L392</f>
        <v/>
      </c>
    </row>
    <row r="393" hidden="1" outlineLevel="2">
      <c r="A393" s="182" t="n"/>
      <c r="B393" s="215" t="n">
        <v>4</v>
      </c>
      <c r="C393" s="184" t="inlineStr">
        <is>
          <t>Timber framing above the ceiling. [Describe]</t>
        </is>
      </c>
      <c r="D393" s="185" t="inlineStr">
        <is>
          <t>post</t>
        </is>
      </c>
      <c r="E393" s="186">
        <f>K393</f>
        <v/>
      </c>
      <c r="F393" s="477">
        <f>CEILING(L393*$M$7,$M$8)</f>
        <v/>
      </c>
      <c r="G393" s="477">
        <f>ROUND(E393*F393,0)</f>
        <v/>
      </c>
      <c r="H393" s="188" t="n"/>
      <c r="I393" s="189" t="inlineStr">
        <is>
          <t>Plafond</t>
        </is>
      </c>
      <c r="J393" s="188" t="n"/>
      <c r="K393" s="478" t="n">
        <v>0</v>
      </c>
      <c r="L393" s="481" t="n">
        <v>0</v>
      </c>
      <c r="M393" s="480">
        <f>K393*L393</f>
        <v/>
      </c>
    </row>
    <row r="394" hidden="1" outlineLevel="2">
      <c r="A394" s="182" t="n"/>
      <c r="B394" s="219" t="n">
        <v>5</v>
      </c>
      <c r="C394" s="184" t="inlineStr">
        <is>
          <t>Cut-outs in the ceiling for installation components. [Describe]</t>
        </is>
      </c>
      <c r="D394" s="185" t="inlineStr">
        <is>
          <t>post</t>
        </is>
      </c>
      <c r="E394" s="186">
        <f>K394</f>
        <v/>
      </c>
      <c r="F394" s="477">
        <f>CEILING(L394*$M$7,$M$8)</f>
        <v/>
      </c>
      <c r="G394" s="477">
        <f>ROUND(E394*F394,0)</f>
        <v/>
      </c>
      <c r="H394" s="188" t="n"/>
      <c r="I394" s="189" t="inlineStr">
        <is>
          <t>Plafond</t>
        </is>
      </c>
      <c r="J394" s="188" t="n"/>
      <c r="K394" s="478" t="n">
        <v>0</v>
      </c>
      <c r="L394" s="481" t="n">
        <v>0</v>
      </c>
      <c r="M394" s="480">
        <f>K394*L394</f>
        <v/>
      </c>
    </row>
    <row r="395" hidden="1" outlineLevel="2">
      <c r="A395" s="182" t="n"/>
      <c r="B395" s="219" t="n">
        <v>6</v>
      </c>
      <c r="C395" s="184" t="inlineStr">
        <is>
          <t>Sprayed ceiling …. [Describe in more detail]</t>
        </is>
      </c>
      <c r="D395" s="185" t="inlineStr">
        <is>
          <t>post</t>
        </is>
      </c>
      <c r="E395" s="186">
        <f>K395</f>
        <v/>
      </c>
      <c r="F395" s="477">
        <f>CEILING(L395*$M$7,$M$8)</f>
        <v/>
      </c>
      <c r="G395" s="477">
        <f>ROUND(E395*F395,0)</f>
        <v/>
      </c>
      <c r="H395" s="188" t="n"/>
      <c r="I395" s="189" t="inlineStr">
        <is>
          <t>Plafond</t>
        </is>
      </c>
      <c r="J395" s="188" t="n"/>
      <c r="K395" s="478" t="n">
        <v>0</v>
      </c>
      <c r="L395" s="481" t="n">
        <v>0</v>
      </c>
      <c r="M395" s="480">
        <f>K395*L395</f>
        <v/>
      </c>
    </row>
    <row r="396" hidden="1" outlineLevel="2">
      <c r="A396" s="182" t="n"/>
      <c r="B396" s="215" t="n">
        <v>7</v>
      </c>
      <c r="C396" s="184" t="inlineStr">
        <is>
          <t>MS Ceiling. [Describe]</t>
        </is>
      </c>
      <c r="D396" s="185" t="inlineStr">
        <is>
          <t>post</t>
        </is>
      </c>
      <c r="E396" s="186">
        <f>K396</f>
        <v/>
      </c>
      <c r="F396" s="477">
        <f>CEILING(L396*$M$7,$M$8)</f>
        <v/>
      </c>
      <c r="G396" s="477">
        <f>ROUND(E396*F396,0)</f>
        <v/>
      </c>
      <c r="H396" s="188" t="n"/>
      <c r="I396" s="189" t="inlineStr">
        <is>
          <t>Plafond</t>
        </is>
      </c>
      <c r="J396" s="188" t="n"/>
      <c r="K396" s="478" t="n">
        <v>0</v>
      </c>
      <c r="L396" s="481" t="n">
        <v>0</v>
      </c>
      <c r="M396" s="480">
        <f>K396*L396</f>
        <v/>
      </c>
    </row>
    <row r="397" hidden="1" outlineLevel="2">
      <c r="A397" s="182" t="n"/>
      <c r="B397" s="219" t="n">
        <v>8</v>
      </c>
      <c r="C397" s="184" t="n"/>
      <c r="D397" s="185" t="inlineStr">
        <is>
          <t>post</t>
        </is>
      </c>
      <c r="E397" s="186">
        <f>K397</f>
        <v/>
      </c>
      <c r="F397" s="477">
        <f>CEILING(L397*$M$7,$M$8)</f>
        <v/>
      </c>
      <c r="G397" s="477">
        <f>ROUND(E397*F397,0)</f>
        <v/>
      </c>
      <c r="H397" s="194" t="n"/>
      <c r="I397" s="189" t="inlineStr">
        <is>
          <t>Plafond</t>
        </is>
      </c>
      <c r="J397" s="194" t="n"/>
      <c r="K397" s="478" t="n">
        <v>0</v>
      </c>
      <c r="L397" s="481" t="n">
        <v>0</v>
      </c>
      <c r="M397" s="480">
        <f>K397*L397</f>
        <v/>
      </c>
    </row>
    <row r="398" hidden="1" outlineLevel="2">
      <c r="A398" s="182" t="n"/>
      <c r="B398" s="215" t="n">
        <v>9</v>
      </c>
      <c r="C398" s="184" t="n"/>
      <c r="D398" s="185" t="inlineStr">
        <is>
          <t>post</t>
        </is>
      </c>
      <c r="E398" s="186">
        <f>K398</f>
        <v/>
      </c>
      <c r="F398" s="477">
        <f>CEILING(L398*$M$7,$M$8)</f>
        <v/>
      </c>
      <c r="G398" s="477">
        <f>ROUND(E398*F398,0)</f>
        <v/>
      </c>
      <c r="H398" s="194" t="n"/>
      <c r="I398" s="189" t="inlineStr">
        <is>
          <t>Plafond</t>
        </is>
      </c>
      <c r="J398" s="194" t="n"/>
      <c r="K398" s="478" t="n">
        <v>0</v>
      </c>
      <c r="L398" s="481" t="n">
        <v>0</v>
      </c>
      <c r="M398" s="480">
        <f>K398*L398</f>
        <v/>
      </c>
    </row>
    <row r="399" hidden="1" outlineLevel="2">
      <c r="A399" s="182" t="n"/>
      <c r="B399" s="219" t="n">
        <v>10</v>
      </c>
      <c r="C399" s="184" t="n"/>
      <c r="D399" s="185" t="inlineStr">
        <is>
          <t>post</t>
        </is>
      </c>
      <c r="E399" s="186">
        <f>K399</f>
        <v/>
      </c>
      <c r="F399" s="477">
        <f>CEILING(L399*$M$7,$M$8)</f>
        <v/>
      </c>
      <c r="G399" s="477">
        <f>ROUND(E399*F399,0)</f>
        <v/>
      </c>
      <c r="H399" s="194" t="n"/>
      <c r="I399" s="189" t="inlineStr">
        <is>
          <t>Plafond</t>
        </is>
      </c>
      <c r="J399" s="194" t="n"/>
      <c r="K399" s="478" t="n">
        <v>0</v>
      </c>
      <c r="L399" s="481" t="n">
        <v>0</v>
      </c>
      <c r="M399" s="480">
        <f>K399*L399</f>
        <v/>
      </c>
    </row>
    <row r="400" hidden="1" outlineLevel="2">
      <c r="A400" s="182" t="n"/>
      <c r="B400" s="215" t="n">
        <v>11</v>
      </c>
      <c r="C400" s="184" t="n"/>
      <c r="D400" s="185" t="inlineStr">
        <is>
          <t>post</t>
        </is>
      </c>
      <c r="E400" s="186">
        <f>K400</f>
        <v/>
      </c>
      <c r="F400" s="477">
        <f>CEILING(L400*$M$7,$M$8)</f>
        <v/>
      </c>
      <c r="G400" s="477">
        <f>ROUND(E400*F400,0)</f>
        <v/>
      </c>
      <c r="H400" s="194" t="n"/>
      <c r="I400" s="189" t="inlineStr">
        <is>
          <t>Plafond</t>
        </is>
      </c>
      <c r="J400" s="194" t="n"/>
      <c r="K400" s="478" t="n">
        <v>0</v>
      </c>
      <c r="L400" s="481" t="n">
        <v>0</v>
      </c>
      <c r="M400" s="480">
        <f>K400*L400</f>
        <v/>
      </c>
    </row>
    <row r="401" hidden="1" outlineLevel="2">
      <c r="A401" s="182" t="n"/>
      <c r="B401" s="219" t="n">
        <v>12</v>
      </c>
      <c r="C401" s="184" t="n"/>
      <c r="D401" s="185" t="inlineStr">
        <is>
          <t>post</t>
        </is>
      </c>
      <c r="E401" s="186">
        <f>K401</f>
        <v/>
      </c>
      <c r="F401" s="477">
        <f>CEILING(L401*$M$7,$M$8)</f>
        <v/>
      </c>
      <c r="G401" s="477">
        <f>ROUND(E401*F401,0)</f>
        <v/>
      </c>
      <c r="H401" s="194" t="n"/>
      <c r="I401" s="189" t="inlineStr">
        <is>
          <t>Plafond</t>
        </is>
      </c>
      <c r="J401" s="194" t="n"/>
      <c r="K401" s="478" t="n">
        <v>0</v>
      </c>
      <c r="L401" s="481" t="n">
        <v>0</v>
      </c>
      <c r="M401" s="480">
        <f>K401*L401</f>
        <v/>
      </c>
    </row>
    <row r="402" hidden="1" outlineLevel="2">
      <c r="A402" s="182" t="n"/>
      <c r="B402" s="215" t="n">
        <v>13</v>
      </c>
      <c r="C402" s="184" t="n"/>
      <c r="D402" s="185" t="inlineStr">
        <is>
          <t>post</t>
        </is>
      </c>
      <c r="E402" s="186">
        <f>K402</f>
        <v/>
      </c>
      <c r="F402" s="477">
        <f>CEILING(L402*$M$7,$M$8)</f>
        <v/>
      </c>
      <c r="G402" s="477">
        <f>ROUND(E402*F402,0)</f>
        <v/>
      </c>
      <c r="H402" s="194" t="n"/>
      <c r="I402" s="189" t="inlineStr">
        <is>
          <t>Plafond</t>
        </is>
      </c>
      <c r="J402" s="194" t="n"/>
      <c r="K402" s="478" t="n">
        <v>0</v>
      </c>
      <c r="L402" s="481" t="n">
        <v>0</v>
      </c>
      <c r="M402" s="480">
        <f>K402*L402</f>
        <v/>
      </c>
    </row>
    <row r="403" hidden="1" outlineLevel="2">
      <c r="A403" s="195" t="n"/>
      <c r="B403" s="215" t="n"/>
      <c r="C403" s="184" t="n"/>
      <c r="D403" s="185" t="n"/>
      <c r="E403" s="486" t="n"/>
      <c r="F403" s="477" t="n"/>
      <c r="G403" s="477" t="n"/>
      <c r="H403" s="188" t="n"/>
      <c r="I403" s="189" t="n"/>
      <c r="J403" s="188" t="n"/>
      <c r="K403" s="478" t="n"/>
      <c r="L403" s="481" t="n"/>
      <c r="M403" s="480" t="n"/>
    </row>
    <row r="404" outlineLevel="2">
      <c r="E404" s="38" t="n"/>
      <c r="F404" s="38" t="n"/>
      <c r="G404" s="482">
        <f>SUM(G390:G403)</f>
        <v/>
      </c>
      <c r="K404" s="483" t="n"/>
      <c r="M404" s="484">
        <f>SUM(M390:M403)</f>
        <v/>
      </c>
    </row>
    <row r="405" outlineLevel="1">
      <c r="E405" s="38" t="n"/>
      <c r="F405" s="38" t="n"/>
      <c r="G405" s="38" t="n"/>
      <c r="K405" s="483" t="n"/>
    </row>
    <row r="406" outlineLevel="2">
      <c r="A406" s="179" t="n">
        <v>350</v>
      </c>
      <c r="B406" s="279" t="inlineStr">
        <is>
          <t>LIGHTING (Basic lighting / Ambient lighting)</t>
        </is>
      </c>
      <c r="C406" s="280" t="n"/>
      <c r="D406" s="280" t="n"/>
      <c r="E406" s="280" t="n"/>
      <c r="F406" s="280" t="n"/>
      <c r="G406" s="280" t="n"/>
      <c r="H406" s="281" t="n"/>
      <c r="I406" s="282" t="n"/>
      <c r="J406" s="281" t="n"/>
      <c r="K406" s="485" t="n"/>
      <c r="L406" s="410" t="n"/>
      <c r="M406" s="199" t="n"/>
    </row>
    <row r="407" outlineLevel="2" ht="25.5" customHeight="1">
      <c r="A407" s="182" t="n"/>
      <c r="B407" s="215" t="n">
        <v>1</v>
      </c>
      <c r="C407" s="206" t="inlineStr">
        <is>
          <t xml:space="preserve">Modifications to basic workplace lighting to suit the new layout (including additional luminaires). </t>
        </is>
      </c>
      <c r="D407" s="185" t="inlineStr">
        <is>
          <t>stelpost</t>
        </is>
      </c>
      <c r="E407" s="186">
        <f>K407</f>
        <v/>
      </c>
      <c r="F407" s="477">
        <f>CEILING(L407*$M$7,$M$8)</f>
        <v/>
      </c>
      <c r="G407" s="477">
        <f>ROUND(E407*F407,0)</f>
        <v/>
      </c>
      <c r="H407" s="188" t="n"/>
      <c r="I407" s="189" t="inlineStr">
        <is>
          <t>Verlichting</t>
        </is>
      </c>
      <c r="J407" s="188" t="n"/>
      <c r="K407" s="478" t="n">
        <v>0</v>
      </c>
      <c r="L407" s="479" t="n">
        <v>70</v>
      </c>
      <c r="M407" s="480">
        <f>K407*L407</f>
        <v/>
      </c>
    </row>
    <row r="408" outlineLevel="2">
      <c r="A408" s="182" t="n"/>
      <c r="B408" s="219" t="n">
        <v>2</v>
      </c>
      <c r="C408" s="184" t="inlineStr">
        <is>
          <t xml:space="preserve">Provisions for mood lighting (including installation). </t>
        </is>
      </c>
      <c r="D408" s="185" t="inlineStr">
        <is>
          <t>stelpost</t>
        </is>
      </c>
      <c r="E408" s="186">
        <f>K408</f>
        <v/>
      </c>
      <c r="F408" s="477">
        <f>CEILING(L408*$M$7,$M$8)</f>
        <v/>
      </c>
      <c r="G408" s="477">
        <f>ROUND(E408*F408,0)</f>
        <v/>
      </c>
      <c r="H408" s="188" t="n"/>
      <c r="I408" s="189" t="inlineStr">
        <is>
          <t>Verlichting</t>
        </is>
      </c>
      <c r="J408" s="188" t="n"/>
      <c r="K408" s="478" t="n">
        <v>0</v>
      </c>
      <c r="L408" s="481" t="n">
        <v>935.2</v>
      </c>
      <c r="M408" s="480">
        <f>K408*L408</f>
        <v/>
      </c>
    </row>
    <row r="409" hidden="1" outlineLevel="2">
      <c r="A409" s="182" t="n"/>
      <c r="B409" s="219" t="n">
        <v>3</v>
      </c>
      <c r="C409" s="184" t="inlineStr">
        <is>
          <t>Modifications …. [Describe]</t>
        </is>
      </c>
      <c r="D409" s="185" t="inlineStr">
        <is>
          <t>post</t>
        </is>
      </c>
      <c r="E409" s="186">
        <f>K409</f>
        <v/>
      </c>
      <c r="F409" s="477">
        <f>CEILING(L409*$M$7,$M$8)</f>
        <v/>
      </c>
      <c r="G409" s="477">
        <f>ROUND(E409*F409,0)</f>
        <v/>
      </c>
      <c r="H409" s="188" t="n"/>
      <c r="I409" s="189" t="inlineStr">
        <is>
          <t>Verlichting</t>
        </is>
      </c>
      <c r="J409" s="188" t="n"/>
      <c r="K409" s="478" t="n">
        <v>0</v>
      </c>
      <c r="L409" s="481" t="n">
        <v>0</v>
      </c>
      <c r="M409" s="480">
        <f>K409*L409</f>
        <v/>
      </c>
    </row>
    <row r="410" hidden="1" outlineLevel="2" ht="24.6" customHeight="1">
      <c r="A410" s="182" t="n"/>
      <c r="B410" s="219" t="n">
        <v>4</v>
      </c>
      <c r="C410" s="184" t="inlineStr">
        <is>
          <t>Modifications to light switches / dimmers / motion detectors to suit the new layout. [Describe]</t>
        </is>
      </c>
      <c r="D410" s="185" t="inlineStr">
        <is>
          <t>post</t>
        </is>
      </c>
      <c r="E410" s="186">
        <f>K410</f>
        <v/>
      </c>
      <c r="F410" s="477">
        <f>CEILING(L410*$M$7,$M$8)</f>
        <v/>
      </c>
      <c r="G410" s="477">
        <f>ROUND(E410*F410,0)</f>
        <v/>
      </c>
      <c r="H410" s="188" t="n"/>
      <c r="I410" s="189" t="inlineStr">
        <is>
          <t>Verlichting</t>
        </is>
      </c>
      <c r="J410" s="188" t="n"/>
      <c r="K410" s="478" t="n">
        <v>0</v>
      </c>
      <c r="L410" s="481" t="n">
        <v>0</v>
      </c>
      <c r="M410" s="480">
        <f>K410*L410</f>
        <v/>
      </c>
    </row>
    <row r="411" hidden="1" outlineLevel="2">
      <c r="A411" s="182" t="n"/>
      <c r="B411" s="219" t="n">
        <v>5</v>
      </c>
      <c r="C411" s="184" t="inlineStr">
        <is>
          <t>Additional mood lighting (including installation). [Describe]</t>
        </is>
      </c>
      <c r="D411" s="185" t="inlineStr">
        <is>
          <t>post</t>
        </is>
      </c>
      <c r="E411" s="186">
        <f>K411</f>
        <v/>
      </c>
      <c r="F411" s="477">
        <f>CEILING(L411*$M$7,$M$8)</f>
        <v/>
      </c>
      <c r="G411" s="477">
        <f>ROUND(E411*F411,0)</f>
        <v/>
      </c>
      <c r="H411" s="188" t="n"/>
      <c r="I411" s="189" t="inlineStr">
        <is>
          <t>Verlichting</t>
        </is>
      </c>
      <c r="J411" s="188" t="n"/>
      <c r="K411" s="478" t="n">
        <v>0</v>
      </c>
      <c r="L411" s="481" t="n">
        <v>0</v>
      </c>
      <c r="M411" s="480">
        <f>K411*L411</f>
        <v/>
      </c>
    </row>
    <row r="412" hidden="1" outlineLevel="2">
      <c r="A412" s="182" t="n"/>
      <c r="B412" s="219" t="n">
        <v>6</v>
      </c>
      <c r="C412" s="184" t="inlineStr">
        <is>
          <t>Additional light switches / dimmers for mood lighting. [Describe]</t>
        </is>
      </c>
      <c r="D412" s="185" t="inlineStr">
        <is>
          <t>post</t>
        </is>
      </c>
      <c r="E412" s="186">
        <f>K412</f>
        <v/>
      </c>
      <c r="F412" s="477">
        <f>CEILING(L412*$M$7,$M$8)</f>
        <v/>
      </c>
      <c r="G412" s="477">
        <f>ROUND(E412*F412,0)</f>
        <v/>
      </c>
      <c r="H412" s="188" t="n"/>
      <c r="I412" s="189" t="inlineStr">
        <is>
          <t>Verlichting</t>
        </is>
      </c>
      <c r="J412" s="188" t="n"/>
      <c r="K412" s="478" t="n">
        <v>0</v>
      </c>
      <c r="L412" s="481" t="n">
        <v>0</v>
      </c>
      <c r="M412" s="480">
        <f>K412*L412</f>
        <v/>
      </c>
    </row>
    <row r="413" hidden="1" outlineLevel="2">
      <c r="A413" s="182" t="n"/>
      <c r="B413" s="219" t="n">
        <v>7</v>
      </c>
      <c r="C413" s="184" t="n"/>
      <c r="D413" s="185" t="inlineStr">
        <is>
          <t>post</t>
        </is>
      </c>
      <c r="E413" s="186">
        <f>K413</f>
        <v/>
      </c>
      <c r="F413" s="477">
        <f>CEILING(L413*$M$7,$M$8)</f>
        <v/>
      </c>
      <c r="G413" s="477">
        <f>ROUND(E413*F413,0)</f>
        <v/>
      </c>
      <c r="H413" s="194" t="n"/>
      <c r="I413" s="189" t="inlineStr">
        <is>
          <t>Verlichting</t>
        </is>
      </c>
      <c r="J413" s="194" t="n"/>
      <c r="K413" s="478" t="n">
        <v>0</v>
      </c>
      <c r="L413" s="481" t="n">
        <v>0</v>
      </c>
      <c r="M413" s="480">
        <f>K413*L413</f>
        <v/>
      </c>
    </row>
    <row r="414" hidden="1" outlineLevel="2">
      <c r="A414" s="182" t="n"/>
      <c r="B414" s="219" t="n">
        <v>8</v>
      </c>
      <c r="C414" s="184" t="n"/>
      <c r="D414" s="185" t="inlineStr">
        <is>
          <t>post</t>
        </is>
      </c>
      <c r="E414" s="186">
        <f>K414</f>
        <v/>
      </c>
      <c r="F414" s="477">
        <f>CEILING(L414*$M$7,$M$8)</f>
        <v/>
      </c>
      <c r="G414" s="477">
        <f>ROUND(E414*F414,0)</f>
        <v/>
      </c>
      <c r="H414" s="194" t="n"/>
      <c r="I414" s="189" t="inlineStr">
        <is>
          <t>Verlichting</t>
        </is>
      </c>
      <c r="J414" s="194" t="n"/>
      <c r="K414" s="478" t="n">
        <v>0</v>
      </c>
      <c r="L414" s="481" t="n">
        <v>0</v>
      </c>
      <c r="M414" s="480">
        <f>K414*L414</f>
        <v/>
      </c>
    </row>
    <row r="415" hidden="1" outlineLevel="2">
      <c r="A415" s="182" t="n"/>
      <c r="B415" s="219" t="n">
        <v>9</v>
      </c>
      <c r="C415" s="184" t="n"/>
      <c r="D415" s="185" t="inlineStr">
        <is>
          <t>post</t>
        </is>
      </c>
      <c r="E415" s="186">
        <f>K415</f>
        <v/>
      </c>
      <c r="F415" s="477">
        <f>CEILING(L415*$M$7,$M$8)</f>
        <v/>
      </c>
      <c r="G415" s="477">
        <f>ROUND(E415*F415,0)</f>
        <v/>
      </c>
      <c r="H415" s="194" t="n"/>
      <c r="I415" s="189" t="inlineStr">
        <is>
          <t>Verlichting</t>
        </is>
      </c>
      <c r="J415" s="194" t="n"/>
      <c r="K415" s="478" t="n">
        <v>0</v>
      </c>
      <c r="L415" s="481" t="n">
        <v>0</v>
      </c>
      <c r="M415" s="480">
        <f>K415*L415</f>
        <v/>
      </c>
    </row>
    <row r="416" hidden="1" outlineLevel="2">
      <c r="A416" s="182" t="n"/>
      <c r="B416" s="219" t="n">
        <v>10</v>
      </c>
      <c r="C416" s="184" t="n"/>
      <c r="D416" s="185" t="inlineStr">
        <is>
          <t>post</t>
        </is>
      </c>
      <c r="E416" s="186">
        <f>K416</f>
        <v/>
      </c>
      <c r="F416" s="477">
        <f>CEILING(L416*$M$7,$M$8)</f>
        <v/>
      </c>
      <c r="G416" s="477">
        <f>ROUND(E416*F416,0)</f>
        <v/>
      </c>
      <c r="H416" s="194" t="n"/>
      <c r="I416" s="189" t="inlineStr">
        <is>
          <t>Verlichting</t>
        </is>
      </c>
      <c r="J416" s="194" t="n"/>
      <c r="K416" s="478" t="n">
        <v>0</v>
      </c>
      <c r="L416" s="481" t="n">
        <v>0</v>
      </c>
      <c r="M416" s="480">
        <f>K416*L416</f>
        <v/>
      </c>
    </row>
    <row r="417" hidden="1" outlineLevel="2">
      <c r="A417" s="182" t="n"/>
      <c r="B417" s="219" t="n">
        <v>11</v>
      </c>
      <c r="C417" s="184" t="n"/>
      <c r="D417" s="185" t="inlineStr">
        <is>
          <t>post</t>
        </is>
      </c>
      <c r="E417" s="186">
        <f>K417</f>
        <v/>
      </c>
      <c r="F417" s="477">
        <f>CEILING(L417*$M$7,$M$8)</f>
        <v/>
      </c>
      <c r="G417" s="477">
        <f>ROUND(E417*F417,0)</f>
        <v/>
      </c>
      <c r="H417" s="194" t="n"/>
      <c r="I417" s="189" t="inlineStr">
        <is>
          <t>Verlichting</t>
        </is>
      </c>
      <c r="J417" s="194" t="n"/>
      <c r="K417" s="478" t="n">
        <v>0</v>
      </c>
      <c r="L417" s="481" t="n">
        <v>0</v>
      </c>
      <c r="M417" s="480">
        <f>K417*L417</f>
        <v/>
      </c>
    </row>
    <row r="418" hidden="1" outlineLevel="2">
      <c r="A418" s="182" t="n"/>
      <c r="B418" s="219" t="n">
        <v>12</v>
      </c>
      <c r="C418" s="184" t="n"/>
      <c r="D418" s="185" t="inlineStr">
        <is>
          <t>post</t>
        </is>
      </c>
      <c r="E418" s="186">
        <f>K418</f>
        <v/>
      </c>
      <c r="F418" s="477">
        <f>CEILING(L418*$M$7,$M$8)</f>
        <v/>
      </c>
      <c r="G418" s="477">
        <f>ROUND(E418*F418,0)</f>
        <v/>
      </c>
      <c r="H418" s="194" t="n"/>
      <c r="I418" s="189" t="inlineStr">
        <is>
          <t>Verlichting</t>
        </is>
      </c>
      <c r="J418" s="194" t="n"/>
      <c r="K418" s="478" t="n">
        <v>0</v>
      </c>
      <c r="L418" s="481" t="n">
        <v>0</v>
      </c>
      <c r="M418" s="480">
        <f>K418*L418</f>
        <v/>
      </c>
    </row>
    <row r="419" hidden="1" outlineLevel="2">
      <c r="A419" s="195" t="n"/>
      <c r="B419" s="219" t="n"/>
      <c r="C419" s="184" t="n"/>
      <c r="D419" s="185" t="n"/>
      <c r="E419" s="486" t="n"/>
      <c r="F419" s="477" t="n"/>
      <c r="G419" s="477" t="n"/>
      <c r="H419" s="188" t="n"/>
      <c r="I419" s="189" t="n"/>
      <c r="J419" s="188" t="n"/>
      <c r="K419" s="478" t="n"/>
      <c r="L419" s="481" t="n"/>
      <c r="M419" s="480" t="n"/>
    </row>
    <row r="420" outlineLevel="2">
      <c r="E420" s="38" t="n"/>
      <c r="F420" s="38" t="n"/>
      <c r="G420" s="482">
        <f>SUM(G407:G419)</f>
        <v/>
      </c>
      <c r="K420" s="483" t="n"/>
      <c r="M420" s="484">
        <f>SUM(M407:M419)</f>
        <v/>
      </c>
    </row>
    <row r="421" outlineLevel="1">
      <c r="E421" s="38" t="n"/>
      <c r="F421" s="38" t="n"/>
      <c r="G421" s="38" t="n"/>
      <c r="K421" s="483" t="n"/>
    </row>
    <row r="422" outlineLevel="2">
      <c r="A422" s="179" t="n">
        <v>360</v>
      </c>
      <c r="B422" s="279" t="inlineStr">
        <is>
          <t>SUN AND LIGHT PROTECTION</t>
        </is>
      </c>
      <c r="C422" s="280" t="n"/>
      <c r="D422" s="280" t="n"/>
      <c r="E422" s="280" t="n"/>
      <c r="F422" s="280" t="n"/>
      <c r="G422" s="280" t="n"/>
      <c r="H422" s="281" t="n"/>
      <c r="I422" s="282" t="n"/>
      <c r="J422" s="281" t="n"/>
      <c r="K422" s="485" t="n"/>
      <c r="L422" s="410" t="n"/>
      <c r="M422" s="199" t="n"/>
    </row>
    <row r="423" outlineLevel="2">
      <c r="A423" s="182" t="n"/>
      <c r="B423" s="215" t="n">
        <v>1</v>
      </c>
      <c r="C423" s="206" t="inlineStr">
        <is>
          <t>Sun protection. (Out of scope)</t>
        </is>
      </c>
      <c r="D423" s="185" t="inlineStr">
        <is>
          <t>stelpost</t>
        </is>
      </c>
      <c r="E423" s="186">
        <f>K423</f>
        <v/>
      </c>
      <c r="F423" s="477">
        <f>CEILING(L423*$M$7,$M$8)</f>
        <v/>
      </c>
      <c r="G423" s="477">
        <f>ROUND(E423*F423,0)</f>
        <v/>
      </c>
      <c r="H423" s="188" t="n"/>
      <c r="I423" s="189" t="inlineStr">
        <is>
          <t>Lichtwering</t>
        </is>
      </c>
      <c r="J423" s="188" t="n"/>
      <c r="K423" s="478" t="n">
        <v>0</v>
      </c>
      <c r="L423" s="479" t="n">
        <v>0</v>
      </c>
      <c r="M423" s="480">
        <f>K423*L423</f>
        <v/>
      </c>
    </row>
    <row r="424" outlineLevel="2">
      <c r="A424" s="182" t="n"/>
      <c r="B424" s="219" t="n">
        <v>2</v>
      </c>
      <c r="C424" s="184" t="inlineStr">
        <is>
          <t xml:space="preserve">Meeting room window coverings, wave pleat, including rails, transport and installation. </t>
        </is>
      </c>
      <c r="D424" s="185" t="inlineStr">
        <is>
          <t>stelpost</t>
        </is>
      </c>
      <c r="E424" s="186">
        <f>K424</f>
        <v/>
      </c>
      <c r="F424" s="477">
        <f>CEILING(L424*$M$7,$M$8)</f>
        <v/>
      </c>
      <c r="G424" s="477">
        <f>ROUND(E424*F424,0)</f>
        <v/>
      </c>
      <c r="H424" s="188" t="n"/>
      <c r="I424" s="189" t="inlineStr">
        <is>
          <t>Lichtwering</t>
        </is>
      </c>
      <c r="J424" s="188" t="n"/>
      <c r="K424" s="478" t="n">
        <v>0</v>
      </c>
      <c r="L424" s="481" t="n">
        <v>248</v>
      </c>
      <c r="M424" s="480">
        <f>K424*L424</f>
        <v/>
      </c>
    </row>
    <row r="425" hidden="1" outlineLevel="2">
      <c r="A425" s="182" t="n"/>
      <c r="B425" s="215" t="n">
        <v>3</v>
      </c>
      <c r="C425" s="184" t="n"/>
      <c r="D425" s="185" t="inlineStr">
        <is>
          <t>post</t>
        </is>
      </c>
      <c r="E425" s="186">
        <f>K425</f>
        <v/>
      </c>
      <c r="F425" s="477">
        <f>CEILING(L425*$M$7,$M$8)</f>
        <v/>
      </c>
      <c r="G425" s="477">
        <f>ROUND(E425*F425,0)</f>
        <v/>
      </c>
      <c r="H425" s="194" t="n"/>
      <c r="I425" s="189" t="inlineStr">
        <is>
          <t>Lichtwering</t>
        </is>
      </c>
      <c r="J425" s="194" t="n"/>
      <c r="K425" s="478" t="n">
        <v>0</v>
      </c>
      <c r="L425" s="481" t="n">
        <v>0</v>
      </c>
      <c r="M425" s="480">
        <f>K425*L425</f>
        <v/>
      </c>
    </row>
    <row r="426" hidden="1" outlineLevel="2">
      <c r="A426" s="182" t="n"/>
      <c r="B426" s="219" t="n">
        <v>4</v>
      </c>
      <c r="C426" s="184" t="n"/>
      <c r="D426" s="185" t="inlineStr">
        <is>
          <t>post</t>
        </is>
      </c>
      <c r="E426" s="186">
        <f>K426</f>
        <v/>
      </c>
      <c r="F426" s="477">
        <f>CEILING(L426*$M$7,$M$8)</f>
        <v/>
      </c>
      <c r="G426" s="477">
        <f>ROUND(E426*F426,0)</f>
        <v/>
      </c>
      <c r="H426" s="194" t="n"/>
      <c r="I426" s="189" t="inlineStr">
        <is>
          <t>Lichtwering</t>
        </is>
      </c>
      <c r="J426" s="194" t="n"/>
      <c r="K426" s="478" t="n">
        <v>0</v>
      </c>
      <c r="L426" s="481" t="n">
        <v>0</v>
      </c>
      <c r="M426" s="480">
        <f>K426*L426</f>
        <v/>
      </c>
    </row>
    <row r="427" hidden="1" outlineLevel="2">
      <c r="A427" s="182" t="n"/>
      <c r="B427" s="215" t="n">
        <v>5</v>
      </c>
      <c r="C427" s="184" t="n"/>
      <c r="D427" s="185" t="inlineStr">
        <is>
          <t>post</t>
        </is>
      </c>
      <c r="E427" s="186">
        <f>K427</f>
        <v/>
      </c>
      <c r="F427" s="477">
        <f>CEILING(L427*$M$7,$M$8)</f>
        <v/>
      </c>
      <c r="G427" s="477">
        <f>ROUND(E427*F427,0)</f>
        <v/>
      </c>
      <c r="H427" s="194" t="n"/>
      <c r="I427" s="189" t="inlineStr">
        <is>
          <t>Lichtwering</t>
        </is>
      </c>
      <c r="J427" s="194" t="n"/>
      <c r="K427" s="478" t="n">
        <v>0</v>
      </c>
      <c r="L427" s="481" t="n">
        <v>0</v>
      </c>
      <c r="M427" s="480">
        <f>K427*L427</f>
        <v/>
      </c>
    </row>
    <row r="428" hidden="1" outlineLevel="2">
      <c r="A428" s="182" t="n"/>
      <c r="B428" s="219" t="n">
        <v>6</v>
      </c>
      <c r="C428" s="184" t="n"/>
      <c r="D428" s="185" t="inlineStr">
        <is>
          <t>post</t>
        </is>
      </c>
      <c r="E428" s="186">
        <f>K428</f>
        <v/>
      </c>
      <c r="F428" s="477">
        <f>CEILING(L428*$M$7,$M$8)</f>
        <v/>
      </c>
      <c r="G428" s="477">
        <f>ROUND(E428*F428,0)</f>
        <v/>
      </c>
      <c r="H428" s="194" t="n"/>
      <c r="I428" s="189" t="inlineStr">
        <is>
          <t>Lichtwering</t>
        </is>
      </c>
      <c r="J428" s="194" t="n"/>
      <c r="K428" s="478" t="n">
        <v>0</v>
      </c>
      <c r="L428" s="481" t="n">
        <v>0</v>
      </c>
      <c r="M428" s="480">
        <f>K428*L428</f>
        <v/>
      </c>
    </row>
    <row r="429" hidden="1" outlineLevel="2">
      <c r="A429" s="182" t="n"/>
      <c r="B429" s="215" t="n">
        <v>7</v>
      </c>
      <c r="C429" s="184" t="n"/>
      <c r="D429" s="185" t="inlineStr">
        <is>
          <t>post</t>
        </is>
      </c>
      <c r="E429" s="186">
        <f>K429</f>
        <v/>
      </c>
      <c r="F429" s="477">
        <f>CEILING(L429*$M$7,$M$8)</f>
        <v/>
      </c>
      <c r="G429" s="477">
        <f>ROUND(E429*F429,0)</f>
        <v/>
      </c>
      <c r="H429" s="194" t="n"/>
      <c r="I429" s="189" t="inlineStr">
        <is>
          <t>Lichtwering</t>
        </is>
      </c>
      <c r="J429" s="194" t="n"/>
      <c r="K429" s="478" t="n">
        <v>0</v>
      </c>
      <c r="L429" s="481" t="n">
        <v>0</v>
      </c>
      <c r="M429" s="480">
        <f>K429*L429</f>
        <v/>
      </c>
    </row>
    <row r="430" hidden="1" outlineLevel="2">
      <c r="A430" s="182" t="n"/>
      <c r="B430" s="219" t="n">
        <v>8</v>
      </c>
      <c r="C430" s="184" t="n"/>
      <c r="D430" s="185" t="inlineStr">
        <is>
          <t>post</t>
        </is>
      </c>
      <c r="E430" s="186">
        <f>K430</f>
        <v/>
      </c>
      <c r="F430" s="477">
        <f>CEILING(L430*$M$7,$M$8)</f>
        <v/>
      </c>
      <c r="G430" s="477">
        <f>ROUND(E430*F430,0)</f>
        <v/>
      </c>
      <c r="H430" s="194" t="n"/>
      <c r="I430" s="189" t="inlineStr">
        <is>
          <t>Lichtwering</t>
        </is>
      </c>
      <c r="J430" s="194" t="n"/>
      <c r="K430" s="478" t="n">
        <v>0</v>
      </c>
      <c r="L430" s="481" t="n">
        <v>0</v>
      </c>
      <c r="M430" s="480">
        <f>K430*L430</f>
        <v/>
      </c>
    </row>
    <row r="431" hidden="1" outlineLevel="2">
      <c r="A431" s="195" t="n"/>
      <c r="B431" s="219" t="n"/>
      <c r="C431" s="184" t="n"/>
      <c r="D431" s="185" t="n"/>
      <c r="E431" s="486" t="n"/>
      <c r="F431" s="477" t="n"/>
      <c r="G431" s="477" t="n"/>
      <c r="H431" s="188" t="n"/>
      <c r="I431" s="189" t="n"/>
      <c r="J431" s="188" t="n"/>
      <c r="K431" s="478" t="n"/>
      <c r="L431" s="481" t="n"/>
      <c r="M431" s="480" t="n"/>
    </row>
    <row r="432" outlineLevel="2">
      <c r="E432" s="38" t="n"/>
      <c r="F432" s="38" t="n"/>
      <c r="G432" s="482">
        <f>SUM(G423:G431)</f>
        <v/>
      </c>
      <c r="K432" s="483" t="n"/>
      <c r="M432" s="484">
        <f>SUM(M423:M431)</f>
        <v/>
      </c>
    </row>
    <row r="433" outlineLevel="1">
      <c r="E433" s="38" t="n"/>
      <c r="F433" s="38" t="n"/>
      <c r="G433" s="38" t="n"/>
      <c r="K433" s="483" t="n"/>
    </row>
    <row r="434" outlineLevel="2">
      <c r="A434" s="179" t="n">
        <v>370</v>
      </c>
      <c r="B434" s="279" t="inlineStr">
        <is>
          <t>BESPOKE FURNITURE</t>
        </is>
      </c>
      <c r="C434" s="280" t="n"/>
      <c r="D434" s="280" t="n"/>
      <c r="E434" s="280" t="n"/>
      <c r="F434" s="280" t="n"/>
      <c r="G434" s="280" t="n"/>
      <c r="H434" s="281" t="n"/>
      <c r="I434" s="282" t="n"/>
      <c r="J434" s="281" t="n"/>
      <c r="K434" s="485" t="n"/>
      <c r="L434" s="410" t="n"/>
      <c r="M434" s="199" t="n"/>
    </row>
    <row r="435" outlineLevel="2">
      <c r="A435" s="182" t="n"/>
      <c r="B435" s="215" t="n">
        <v>1</v>
      </c>
      <c r="C435" s="206" t="inlineStr">
        <is>
          <t xml:space="preserve">Reception </t>
        </is>
      </c>
      <c r="D435" s="185" t="inlineStr">
        <is>
          <t>stelpost</t>
        </is>
      </c>
      <c r="E435" s="186">
        <f>K435</f>
        <v/>
      </c>
      <c r="F435" s="477">
        <f>CEILING(L435*$M$7,$M$8)</f>
        <v/>
      </c>
      <c r="G435" s="477">
        <f>ROUND(E435*F435,0)</f>
        <v/>
      </c>
      <c r="H435" s="188" t="n"/>
      <c r="I435" s="189" t="inlineStr">
        <is>
          <t>Meubel</t>
        </is>
      </c>
      <c r="J435" s="188" t="n"/>
      <c r="K435" s="220" t="n">
        <v>0</v>
      </c>
      <c r="L435" s="479" t="n">
        <v>10000</v>
      </c>
      <c r="M435" s="480">
        <f>K435*L435</f>
        <v/>
      </c>
    </row>
    <row r="436" outlineLevel="2">
      <c r="A436" s="182" t="n"/>
      <c r="B436" s="219" t="n">
        <v>2</v>
      </c>
      <c r="C436" s="184" t="inlineStr">
        <is>
          <t xml:space="preserve">Kitchen; Entails the kitchen island and the part against the wall. </t>
        </is>
      </c>
      <c r="D436" s="185" t="inlineStr">
        <is>
          <t>stelpost</t>
        </is>
      </c>
      <c r="E436" s="186">
        <f>K436</f>
        <v/>
      </c>
      <c r="F436" s="477">
        <f>CEILING(L436*$M$7,$M$8)</f>
        <v/>
      </c>
      <c r="G436" s="477">
        <f>ROUND(E436*F436,0)</f>
        <v/>
      </c>
      <c r="H436" s="188" t="n"/>
      <c r="I436" s="189" t="inlineStr">
        <is>
          <t>Meubel</t>
        </is>
      </c>
      <c r="J436" s="188" t="n"/>
      <c r="K436" s="220" t="n">
        <v>0</v>
      </c>
      <c r="L436" s="481" t="n">
        <v>36500</v>
      </c>
      <c r="M436" s="480">
        <f>K436*L436</f>
        <v/>
      </c>
    </row>
    <row r="437" outlineLevel="2">
      <c r="A437" s="182" t="n"/>
      <c r="B437" s="219" t="n">
        <v>3</v>
      </c>
      <c r="C437" s="184" t="inlineStr">
        <is>
          <t xml:space="preserve">U-shaped couch, including the planters. </t>
        </is>
      </c>
      <c r="D437" s="185" t="inlineStr">
        <is>
          <t>stelpost</t>
        </is>
      </c>
      <c r="E437" s="186">
        <f>K437</f>
        <v/>
      </c>
      <c r="F437" s="477">
        <f>CEILING(L437*$M$7,$M$8)</f>
        <v/>
      </c>
      <c r="G437" s="477">
        <f>ROUND(E437*F437,0)</f>
        <v/>
      </c>
      <c r="H437" s="188" t="n"/>
      <c r="I437" s="189" t="inlineStr">
        <is>
          <t>Meubel</t>
        </is>
      </c>
      <c r="J437" s="188" t="n"/>
      <c r="K437" s="478" t="n">
        <v>0</v>
      </c>
      <c r="L437" s="481" t="n">
        <v>21500</v>
      </c>
      <c r="M437" s="480">
        <f>K437*L437</f>
        <v/>
      </c>
    </row>
    <row r="438" outlineLevel="2">
      <c r="A438" s="182" t="n"/>
      <c r="B438" s="215" t="n">
        <v>4</v>
      </c>
      <c r="C438" s="184" t="inlineStr">
        <is>
          <t xml:space="preserve">Corner sofa </t>
        </is>
      </c>
      <c r="D438" s="185" t="inlineStr">
        <is>
          <t>stelpost</t>
        </is>
      </c>
      <c r="E438" s="186">
        <f>K438</f>
        <v/>
      </c>
      <c r="F438" s="477">
        <f>CEILING(L438*$M$7,$M$8)</f>
        <v/>
      </c>
      <c r="G438" s="477">
        <f>ROUND(E438*F438,0)</f>
        <v/>
      </c>
      <c r="H438" s="188" t="n"/>
      <c r="I438" s="189" t="inlineStr">
        <is>
          <t>Meubel</t>
        </is>
      </c>
      <c r="J438" s="188" t="n"/>
      <c r="K438" s="220" t="n">
        <v>0</v>
      </c>
      <c r="L438" s="481" t="n">
        <v>5500</v>
      </c>
      <c r="M438" s="480">
        <f>K438*L438</f>
        <v/>
      </c>
    </row>
    <row r="439" outlineLevel="2">
      <c r="A439" s="182" t="n"/>
      <c r="B439" s="219" t="n">
        <v>5</v>
      </c>
      <c r="C439" s="184" t="inlineStr">
        <is>
          <t xml:space="preserve">Free standing planters </t>
        </is>
      </c>
      <c r="D439" s="185" t="inlineStr">
        <is>
          <t>stelpost</t>
        </is>
      </c>
      <c r="E439" s="186">
        <f>K439</f>
        <v/>
      </c>
      <c r="F439" s="477">
        <f>CEILING(L439*$M$7,$M$8)</f>
        <v/>
      </c>
      <c r="G439" s="477">
        <f>ROUND(E439*F439,0)</f>
        <v/>
      </c>
      <c r="H439" s="188" t="n"/>
      <c r="I439" s="189" t="inlineStr">
        <is>
          <t>Meubel</t>
        </is>
      </c>
      <c r="J439" s="188" t="n"/>
      <c r="K439" s="220" t="n">
        <v>0</v>
      </c>
      <c r="L439" s="481" t="n">
        <v>17500</v>
      </c>
      <c r="M439" s="480">
        <f>K439*L439</f>
        <v/>
      </c>
    </row>
    <row r="440" outlineLevel="2">
      <c r="A440" s="182" t="n"/>
      <c r="B440" s="219" t="n">
        <v>6</v>
      </c>
      <c r="C440" s="184" t="inlineStr">
        <is>
          <t xml:space="preserve">Wardrobe , including 20 lockers </t>
        </is>
      </c>
      <c r="D440" s="185" t="inlineStr">
        <is>
          <t>stelpost</t>
        </is>
      </c>
      <c r="E440" s="186">
        <f>K440</f>
        <v/>
      </c>
      <c r="F440" s="477">
        <f>CEILING(L440*$M$7,$M$8)</f>
        <v/>
      </c>
      <c r="G440" s="477">
        <f>ROUND(E440*F440,0)</f>
        <v/>
      </c>
      <c r="H440" s="188" t="n"/>
      <c r="I440" s="189" t="inlineStr">
        <is>
          <t>Meubel</t>
        </is>
      </c>
      <c r="J440" s="188" t="n"/>
      <c r="K440" s="220" t="n">
        <v>0</v>
      </c>
      <c r="L440" s="481" t="n">
        <v>9250</v>
      </c>
      <c r="M440" s="480">
        <f>K440*L440</f>
        <v/>
      </c>
    </row>
    <row r="441" hidden="1" outlineLevel="2">
      <c r="A441" s="182" t="n"/>
      <c r="B441" s="215" t="n">
        <v>7</v>
      </c>
      <c r="C441" s="184" t="inlineStr">
        <is>
          <t>Electrical installations for the pantry consisting of …. [Describe]</t>
        </is>
      </c>
      <c r="D441" s="185" t="inlineStr">
        <is>
          <t>post</t>
        </is>
      </c>
      <c r="E441" s="186">
        <f>K441</f>
        <v/>
      </c>
      <c r="F441" s="477">
        <f>CEILING(L441*$M$7,$M$8)</f>
        <v/>
      </c>
      <c r="G441" s="477">
        <f>ROUND(E441*F441,0)</f>
        <v/>
      </c>
      <c r="H441" s="188" t="n"/>
      <c r="I441" s="189" t="inlineStr">
        <is>
          <t>Meubel</t>
        </is>
      </c>
      <c r="J441" s="188" t="n"/>
      <c r="K441" s="220" t="n">
        <v>0</v>
      </c>
      <c r="L441" s="481" t="n">
        <v>0</v>
      </c>
      <c r="M441" s="480">
        <f>K441*L441</f>
        <v/>
      </c>
    </row>
    <row r="442" hidden="1" outlineLevel="2">
      <c r="A442" s="182" t="n"/>
      <c r="B442" s="219" t="n">
        <v>8</v>
      </c>
      <c r="C442" s="184" t="inlineStr">
        <is>
          <t>Printer unit comprising … (including printer power connection). [Describe]</t>
        </is>
      </c>
      <c r="D442" s="185" t="inlineStr">
        <is>
          <t>post</t>
        </is>
      </c>
      <c r="E442" s="186">
        <f>K442</f>
        <v/>
      </c>
      <c r="F442" s="477">
        <f>CEILING(L442*$M$7,$M$8)</f>
        <v/>
      </c>
      <c r="G442" s="477">
        <f>ROUND(E442*F442,0)</f>
        <v/>
      </c>
      <c r="H442" s="188" t="n"/>
      <c r="I442" s="189" t="inlineStr">
        <is>
          <t>Meubel</t>
        </is>
      </c>
      <c r="J442" s="188" t="n"/>
      <c r="K442" s="220" t="n">
        <v>0</v>
      </c>
      <c r="L442" s="481" t="n">
        <v>0</v>
      </c>
      <c r="M442" s="480">
        <f>K442*L442</f>
        <v/>
      </c>
    </row>
    <row r="443" hidden="1" outlineLevel="2">
      <c r="A443" s="182" t="n"/>
      <c r="B443" s="219" t="n">
        <v>9</v>
      </c>
      <c r="C443" s="184" t="inlineStr">
        <is>
          <t>Cloakroom comprising …. [Describe]</t>
        </is>
      </c>
      <c r="D443" s="185" t="inlineStr">
        <is>
          <t>post</t>
        </is>
      </c>
      <c r="E443" s="186">
        <f>K443</f>
        <v/>
      </c>
      <c r="F443" s="477">
        <f>CEILING(L443*$M$7,$M$8)</f>
        <v/>
      </c>
      <c r="G443" s="477">
        <f>ROUND(E443*F443,0)</f>
        <v/>
      </c>
      <c r="H443" s="188" t="n"/>
      <c r="I443" s="189" t="inlineStr">
        <is>
          <t>Meubel</t>
        </is>
      </c>
      <c r="J443" s="188" t="n"/>
      <c r="K443" s="220" t="n">
        <v>0</v>
      </c>
      <c r="L443" s="481" t="n">
        <v>0</v>
      </c>
      <c r="M443" s="480">
        <f>K443*L443</f>
        <v/>
      </c>
    </row>
    <row r="444" hidden="1" outlineLevel="2">
      <c r="A444" s="182" t="n"/>
      <c r="B444" s="215" t="n">
        <v>10</v>
      </c>
      <c r="C444" s="184" t="inlineStr">
        <is>
          <t>Lockers.</t>
        </is>
      </c>
      <c r="D444" s="185" t="inlineStr">
        <is>
          <t>post</t>
        </is>
      </c>
      <c r="E444" s="186">
        <f>K444</f>
        <v/>
      </c>
      <c r="F444" s="477">
        <f>CEILING(L444*$M$7,$M$8)</f>
        <v/>
      </c>
      <c r="G444" s="477">
        <f>ROUND(E444*F444,0)</f>
        <v/>
      </c>
      <c r="H444" s="188" t="n"/>
      <c r="I444" s="189" t="inlineStr">
        <is>
          <t>Meubel</t>
        </is>
      </c>
      <c r="J444" s="188" t="n"/>
      <c r="K444" s="220" t="n">
        <v>0</v>
      </c>
      <c r="L444" s="481" t="n">
        <v>0</v>
      </c>
      <c r="M444" s="480">
        <f>K444*L444</f>
        <v/>
      </c>
    </row>
    <row r="445" hidden="1" outlineLevel="2" ht="25.5" customHeight="1">
      <c r="A445" s="182" t="n"/>
      <c r="B445" s="219" t="n">
        <v>11</v>
      </c>
      <c r="C445" s="184" t="inlineStr">
        <is>
          <t>Mailroom unit comprising … (including wall-mounted cable tray with power supply for various equipment). [Describe]</t>
        </is>
      </c>
      <c r="D445" s="185" t="inlineStr">
        <is>
          <t>post</t>
        </is>
      </c>
      <c r="E445" s="186">
        <f>K445</f>
        <v/>
      </c>
      <c r="F445" s="477">
        <f>CEILING(L445*$M$7,$M$8)</f>
        <v/>
      </c>
      <c r="G445" s="477">
        <f>ROUND(E445*F445,0)</f>
        <v/>
      </c>
      <c r="H445" s="188" t="n"/>
      <c r="I445" s="189" t="inlineStr">
        <is>
          <t>Meubel</t>
        </is>
      </c>
      <c r="J445" s="188" t="n"/>
      <c r="K445" s="220" t="n">
        <v>0</v>
      </c>
      <c r="L445" s="481" t="n">
        <v>0</v>
      </c>
      <c r="M445" s="480">
        <f>K445*L445</f>
        <v/>
      </c>
    </row>
    <row r="446" hidden="1" outlineLevel="2">
      <c r="A446" s="182" t="n"/>
      <c r="B446" s="215" t="n">
        <v>12</v>
      </c>
      <c r="C446" s="184" t="n"/>
      <c r="D446" s="185" t="inlineStr">
        <is>
          <t>post</t>
        </is>
      </c>
      <c r="E446" s="186">
        <f>K446</f>
        <v/>
      </c>
      <c r="F446" s="477">
        <f>CEILING(L446*$M$7,$M$8)</f>
        <v/>
      </c>
      <c r="G446" s="477">
        <f>ROUND(E446*F446,0)</f>
        <v/>
      </c>
      <c r="H446" s="194" t="n"/>
      <c r="I446" s="189" t="inlineStr">
        <is>
          <t>Meubel</t>
        </is>
      </c>
      <c r="J446" s="194" t="n"/>
      <c r="K446" s="478" t="n">
        <v>0</v>
      </c>
      <c r="L446" s="481" t="n">
        <v>0</v>
      </c>
      <c r="M446" s="480">
        <f>K446*L446</f>
        <v/>
      </c>
    </row>
    <row r="447" hidden="1" outlineLevel="2">
      <c r="A447" s="182" t="n"/>
      <c r="B447" s="219" t="n">
        <v>13</v>
      </c>
      <c r="C447" s="184" t="n"/>
      <c r="D447" s="185" t="inlineStr">
        <is>
          <t>post</t>
        </is>
      </c>
      <c r="E447" s="186">
        <f>K447</f>
        <v/>
      </c>
      <c r="F447" s="477">
        <f>CEILING(L447*$M$7,$M$8)</f>
        <v/>
      </c>
      <c r="G447" s="477">
        <f>ROUND(E447*F447,0)</f>
        <v/>
      </c>
      <c r="H447" s="194" t="n"/>
      <c r="I447" s="189" t="inlineStr">
        <is>
          <t>Meubel</t>
        </is>
      </c>
      <c r="J447" s="194" t="n"/>
      <c r="K447" s="478" t="n">
        <v>0</v>
      </c>
      <c r="L447" s="481" t="n">
        <v>0</v>
      </c>
      <c r="M447" s="480">
        <f>K447*L447</f>
        <v/>
      </c>
    </row>
    <row r="448" hidden="1" outlineLevel="2">
      <c r="A448" s="182" t="n"/>
      <c r="B448" s="215" t="n">
        <v>14</v>
      </c>
      <c r="C448" s="184" t="n"/>
      <c r="D448" s="185" t="inlineStr">
        <is>
          <t>post</t>
        </is>
      </c>
      <c r="E448" s="186">
        <f>K448</f>
        <v/>
      </c>
      <c r="F448" s="477">
        <f>CEILING(L448*$M$7,$M$8)</f>
        <v/>
      </c>
      <c r="G448" s="477">
        <f>ROUND(E448*F448,0)</f>
        <v/>
      </c>
      <c r="H448" s="194" t="n"/>
      <c r="I448" s="189" t="inlineStr">
        <is>
          <t>Meubel</t>
        </is>
      </c>
      <c r="J448" s="194" t="n"/>
      <c r="K448" s="478" t="n">
        <v>0</v>
      </c>
      <c r="L448" s="481" t="n">
        <v>0</v>
      </c>
      <c r="M448" s="480">
        <f>K448*L448</f>
        <v/>
      </c>
    </row>
    <row r="449" hidden="1" outlineLevel="2">
      <c r="A449" s="182" t="n"/>
      <c r="B449" s="219" t="n">
        <v>15</v>
      </c>
      <c r="C449" s="184" t="n"/>
      <c r="D449" s="185" t="inlineStr">
        <is>
          <t>post</t>
        </is>
      </c>
      <c r="E449" s="186">
        <f>K449</f>
        <v/>
      </c>
      <c r="F449" s="477">
        <f>CEILING(L449*$M$7,$M$8)</f>
        <v/>
      </c>
      <c r="G449" s="477">
        <f>ROUND(E449*F449,0)</f>
        <v/>
      </c>
      <c r="H449" s="194" t="n"/>
      <c r="I449" s="189" t="inlineStr">
        <is>
          <t>Meubel</t>
        </is>
      </c>
      <c r="J449" s="194" t="n"/>
      <c r="K449" s="478" t="n">
        <v>0</v>
      </c>
      <c r="L449" s="481" t="n">
        <v>0</v>
      </c>
      <c r="M449" s="480">
        <f>K449*L449</f>
        <v/>
      </c>
    </row>
    <row r="450" hidden="1" outlineLevel="2">
      <c r="A450" s="182" t="n"/>
      <c r="B450" s="215" t="n">
        <v>16</v>
      </c>
      <c r="C450" s="184" t="n"/>
      <c r="D450" s="185" t="inlineStr">
        <is>
          <t>post</t>
        </is>
      </c>
      <c r="E450" s="186">
        <f>K450</f>
        <v/>
      </c>
      <c r="F450" s="477">
        <f>CEILING(L450*$M$7,$M$8)</f>
        <v/>
      </c>
      <c r="G450" s="477">
        <f>ROUND(E450*F450,0)</f>
        <v/>
      </c>
      <c r="H450" s="194" t="n"/>
      <c r="I450" s="189" t="inlineStr">
        <is>
          <t>Meubel</t>
        </is>
      </c>
      <c r="J450" s="194" t="n"/>
      <c r="K450" s="478" t="n">
        <v>0</v>
      </c>
      <c r="L450" s="481" t="n">
        <v>0</v>
      </c>
      <c r="M450" s="480">
        <f>K450*L450</f>
        <v/>
      </c>
    </row>
    <row r="451" hidden="1" outlineLevel="2">
      <c r="A451" s="182" t="n"/>
      <c r="B451" s="219" t="n">
        <v>17</v>
      </c>
      <c r="C451" s="184" t="n"/>
      <c r="D451" s="185" t="inlineStr">
        <is>
          <t>post</t>
        </is>
      </c>
      <c r="E451" s="186">
        <f>K451</f>
        <v/>
      </c>
      <c r="F451" s="477">
        <f>CEILING(L451*$M$7,$M$8)</f>
        <v/>
      </c>
      <c r="G451" s="477">
        <f>ROUND(E451*F451,0)</f>
        <v/>
      </c>
      <c r="H451" s="194" t="n"/>
      <c r="I451" s="189" t="inlineStr">
        <is>
          <t>Meubel</t>
        </is>
      </c>
      <c r="J451" s="194" t="n"/>
      <c r="K451" s="478" t="n">
        <v>0</v>
      </c>
      <c r="L451" s="481" t="n">
        <v>0</v>
      </c>
      <c r="M451" s="480">
        <f>K451*L451</f>
        <v/>
      </c>
    </row>
    <row r="452" hidden="1" outlineLevel="2">
      <c r="A452" s="195" t="n"/>
      <c r="B452" s="219" t="n"/>
      <c r="C452" s="184" t="n"/>
      <c r="D452" s="185" t="n"/>
      <c r="E452" s="486" t="n"/>
      <c r="F452" s="477" t="n"/>
      <c r="G452" s="477" t="n"/>
      <c r="H452" s="188" t="n"/>
      <c r="I452" s="189" t="n"/>
      <c r="J452" s="188" t="n"/>
      <c r="K452" s="220" t="n"/>
      <c r="L452" s="481" t="n"/>
      <c r="M452" s="480" t="n"/>
    </row>
    <row r="453" outlineLevel="2">
      <c r="E453" s="38" t="n"/>
      <c r="F453" s="38" t="n"/>
      <c r="G453" s="482">
        <f>SUM(G435:G452)</f>
        <v/>
      </c>
      <c r="K453" s="483" t="n"/>
      <c r="M453" s="484">
        <f>SUM(M435:M452)</f>
        <v/>
      </c>
    </row>
    <row r="454" outlineLevel="1">
      <c r="E454" s="38" t="n"/>
      <c r="F454" s="38" t="n"/>
      <c r="G454" s="38" t="n"/>
      <c r="K454" s="483" t="n"/>
    </row>
    <row r="455">
      <c r="A455" s="176" t="n">
        <v>400</v>
      </c>
      <c r="B455" s="101" t="inlineStr">
        <is>
          <t>FURNISHINGS &amp; DÉCOR</t>
        </is>
      </c>
      <c r="C455" s="102" t="n"/>
      <c r="D455" s="102" t="n"/>
      <c r="E455" s="102" t="n"/>
      <c r="F455" s="102" t="n"/>
      <c r="G455" s="102" t="n"/>
      <c r="H455" s="277" t="n"/>
      <c r="I455" s="278" t="n"/>
      <c r="J455" s="277" t="n"/>
      <c r="K455" s="494" t="n"/>
      <c r="L455" s="177" t="n"/>
      <c r="M455" s="178" t="n"/>
    </row>
    <row r="456" ht="4.35" customHeight="1">
      <c r="E456" s="38" t="n"/>
      <c r="F456" s="38" t="n"/>
      <c r="G456" s="38" t="n"/>
      <c r="K456" s="483" t="n"/>
    </row>
    <row r="457" outlineLevel="2">
      <c r="A457" s="179" t="n">
        <v>410</v>
      </c>
      <c r="B457" s="279" t="inlineStr">
        <is>
          <t>FURNITURE</t>
        </is>
      </c>
      <c r="C457" s="280" t="n"/>
      <c r="D457" s="280" t="n"/>
      <c r="E457" s="280" t="n"/>
      <c r="F457" s="280" t="n"/>
      <c r="G457" s="280" t="n"/>
      <c r="H457" s="281" t="n"/>
      <c r="I457" s="282" t="n"/>
      <c r="J457" s="281" t="n"/>
      <c r="K457" s="485" t="n"/>
      <c r="L457" s="410" t="n"/>
      <c r="M457" s="199" t="n"/>
    </row>
    <row r="458" outlineLevel="2">
      <c r="A458" s="182" t="n"/>
      <c r="B458" s="215" t="n">
        <v>1</v>
      </c>
      <c r="C458" s="206" t="inlineStr">
        <is>
          <t xml:space="preserve">Workstations consisting of two height adjustable desks, including table tops. </t>
        </is>
      </c>
      <c r="D458" s="185" t="inlineStr">
        <is>
          <t>stelpost</t>
        </is>
      </c>
      <c r="E458" s="186">
        <f>K458</f>
        <v/>
      </c>
      <c r="F458" s="477">
        <f>CEILING(L458*$M$7,$M$8)</f>
        <v/>
      </c>
      <c r="G458" s="477">
        <f>ROUND(E458*F458,0)</f>
        <v/>
      </c>
      <c r="H458" s="188" t="n"/>
      <c r="I458" s="189" t="inlineStr">
        <is>
          <t>Meubilair</t>
        </is>
      </c>
      <c r="J458" s="188" t="n"/>
      <c r="K458" s="220" t="n">
        <v>0</v>
      </c>
      <c r="L458" s="479" t="n">
        <v>825</v>
      </c>
      <c r="M458" s="480">
        <f>K458*L458</f>
        <v/>
      </c>
    </row>
    <row r="459" outlineLevel="2">
      <c r="A459" s="182" t="n"/>
      <c r="B459" s="219" t="n">
        <v>2</v>
      </c>
      <c r="C459" s="206" t="inlineStr">
        <is>
          <t xml:space="preserve">Workstations consisting of single height adjustable desks, including table tops. </t>
        </is>
      </c>
      <c r="D459" s="185" t="inlineStr">
        <is>
          <t>stelpost</t>
        </is>
      </c>
      <c r="E459" s="186">
        <f>K459</f>
        <v/>
      </c>
      <c r="F459" s="477">
        <f>CEILING(L459*$M$7,$M$8)</f>
        <v/>
      </c>
      <c r="G459" s="477">
        <f>ROUND(E459*F459,0)</f>
        <v/>
      </c>
      <c r="H459" s="188" t="n"/>
      <c r="I459" s="189" t="inlineStr">
        <is>
          <t>Meubilair</t>
        </is>
      </c>
      <c r="J459" s="188" t="n"/>
      <c r="K459" s="220" t="n">
        <v>0</v>
      </c>
      <c r="L459" s="479" t="n">
        <v>450</v>
      </c>
      <c r="M459" s="480">
        <f>K459*L459</f>
        <v/>
      </c>
    </row>
    <row r="460" outlineLevel="2">
      <c r="A460" s="182" t="n"/>
      <c r="B460" s="219" t="n">
        <v>3</v>
      </c>
      <c r="C460" s="184" t="inlineStr">
        <is>
          <t>Cable ducts for workstations</t>
        </is>
      </c>
      <c r="D460" s="185" t="inlineStr">
        <is>
          <t>stelpost</t>
        </is>
      </c>
      <c r="E460" s="186">
        <f>K460</f>
        <v/>
      </c>
      <c r="F460" s="477">
        <f>CEILING(L460*$M$7,$M$8)</f>
        <v/>
      </c>
      <c r="G460" s="477">
        <f>ROUND(E460*F460,0)</f>
        <v/>
      </c>
      <c r="H460" s="188" t="n"/>
      <c r="I460" s="189" t="inlineStr">
        <is>
          <t>Meubilair</t>
        </is>
      </c>
      <c r="J460" s="188" t="n"/>
      <c r="K460" s="220" t="n">
        <v>0</v>
      </c>
      <c r="L460" s="481" t="n">
        <v>45</v>
      </c>
      <c r="M460" s="480">
        <f>K460*L460</f>
        <v/>
      </c>
    </row>
    <row r="461" outlineLevel="2">
      <c r="A461" s="182" t="n"/>
      <c r="B461" s="215" t="n">
        <v>4</v>
      </c>
      <c r="C461" s="184" t="inlineStr">
        <is>
          <t xml:space="preserve">Central cable channel (between double desks) </t>
        </is>
      </c>
      <c r="D461" s="185" t="inlineStr">
        <is>
          <t>stelpost</t>
        </is>
      </c>
      <c r="E461" s="186">
        <f>K461</f>
        <v/>
      </c>
      <c r="F461" s="477">
        <f>CEILING(L461*$M$7,$M$8)</f>
        <v/>
      </c>
      <c r="G461" s="477">
        <f>ROUND(E461*F461,0)</f>
        <v/>
      </c>
      <c r="H461" s="188" t="n"/>
      <c r="I461" s="189" t="inlineStr">
        <is>
          <t>Meubilair</t>
        </is>
      </c>
      <c r="J461" s="188" t="n"/>
      <c r="K461" s="220" t="n">
        <v>0</v>
      </c>
      <c r="L461" s="481" t="n">
        <v>115</v>
      </c>
      <c r="M461" s="480">
        <f>K461*L461</f>
        <v/>
      </c>
    </row>
    <row r="462" outlineLevel="2">
      <c r="A462" s="182" t="n"/>
      <c r="B462" s="219" t="n">
        <v>5</v>
      </c>
      <c r="C462" s="184" t="inlineStr">
        <is>
          <t xml:space="preserve">Workstation separation walls </t>
        </is>
      </c>
      <c r="D462" s="185" t="inlineStr">
        <is>
          <t>stelpost</t>
        </is>
      </c>
      <c r="E462" s="186">
        <f>K462</f>
        <v/>
      </c>
      <c r="F462" s="477">
        <f>CEILING(L462*$M$7,$M$8)</f>
        <v/>
      </c>
      <c r="G462" s="477">
        <f>ROUND(E462*F462,0)</f>
        <v/>
      </c>
      <c r="H462" s="188" t="n"/>
      <c r="I462" s="189" t="inlineStr">
        <is>
          <t>Meubilair</t>
        </is>
      </c>
      <c r="J462" s="188" t="n"/>
      <c r="K462" s="220" t="n">
        <v>0</v>
      </c>
      <c r="L462" s="481" t="n">
        <v>159</v>
      </c>
      <c r="M462" s="480">
        <f>K462*L462</f>
        <v/>
      </c>
    </row>
    <row r="463" outlineLevel="2">
      <c r="A463" s="182" t="n"/>
      <c r="B463" s="215" t="n">
        <v>6</v>
      </c>
      <c r="C463" s="184" t="inlineStr">
        <is>
          <t xml:space="preserve">Cabling and electrification of workstations </t>
        </is>
      </c>
      <c r="D463" s="185" t="inlineStr">
        <is>
          <t>stelpost</t>
        </is>
      </c>
      <c r="E463" s="186">
        <f>K463</f>
        <v/>
      </c>
      <c r="F463" s="477">
        <f>CEILING(L463*$M$7,$M$8)</f>
        <v/>
      </c>
      <c r="G463" s="477">
        <f>ROUND(E463*F463,0)</f>
        <v/>
      </c>
      <c r="H463" s="188" t="n"/>
      <c r="I463" s="189" t="inlineStr">
        <is>
          <t>Meubilair</t>
        </is>
      </c>
      <c r="J463" s="188" t="n"/>
      <c r="K463" s="220" t="n">
        <v>0</v>
      </c>
      <c r="L463" s="481">
        <f>(510+390+945+390+90+153)/30</f>
        <v/>
      </c>
      <c r="M463" s="480">
        <f>K463*L463</f>
        <v/>
      </c>
    </row>
    <row r="464" outlineLevel="2">
      <c r="A464" s="182" t="n"/>
      <c r="B464" s="219" t="n">
        <v>7</v>
      </c>
      <c r="C464" s="184" t="inlineStr">
        <is>
          <t xml:space="preserve">Desk chair </t>
        </is>
      </c>
      <c r="D464" s="185" t="inlineStr">
        <is>
          <t>stelpost</t>
        </is>
      </c>
      <c r="E464" s="186">
        <f>K464</f>
        <v/>
      </c>
      <c r="F464" s="477">
        <f>CEILING(L464*$M$7,$M$8)</f>
        <v/>
      </c>
      <c r="G464" s="477">
        <f>ROUND(E464*F464,0)</f>
        <v/>
      </c>
      <c r="H464" s="188" t="n"/>
      <c r="I464" s="189" t="inlineStr">
        <is>
          <t>Meubilair</t>
        </is>
      </c>
      <c r="J464" s="188" t="n"/>
      <c r="K464" s="220" t="n">
        <v>0</v>
      </c>
      <c r="L464" s="481" t="n">
        <v>235</v>
      </c>
      <c r="M464" s="480">
        <f>K464*L464</f>
        <v/>
      </c>
    </row>
    <row r="465" outlineLevel="2">
      <c r="A465" s="182" t="n"/>
      <c r="B465" s="219" t="n">
        <v>8</v>
      </c>
      <c r="C465" s="184" t="inlineStr">
        <is>
          <t>Meeting room chairs (10 p. + 6 p. + 4 p.)</t>
        </is>
      </c>
      <c r="D465" s="185" t="inlineStr">
        <is>
          <t>stelpost</t>
        </is>
      </c>
      <c r="E465" s="186">
        <f>K465</f>
        <v/>
      </c>
      <c r="F465" s="477">
        <f>CEILING(L465*$M$7,$M$8)</f>
        <v/>
      </c>
      <c r="G465" s="477">
        <f>ROUND(E465*F465,0)</f>
        <v/>
      </c>
      <c r="H465" s="188" t="n"/>
      <c r="I465" s="189" t="inlineStr">
        <is>
          <t>Meubilair</t>
        </is>
      </c>
      <c r="J465" s="188" t="n"/>
      <c r="K465" s="220" t="n">
        <v>0</v>
      </c>
      <c r="L465" s="481" t="n">
        <v>269</v>
      </c>
      <c r="M465" s="480">
        <f>K465*L465</f>
        <v/>
      </c>
    </row>
    <row r="466" outlineLevel="2">
      <c r="A466" s="182" t="n"/>
      <c r="B466" s="215" t="n">
        <v>9</v>
      </c>
      <c r="C466" s="184" t="inlineStr">
        <is>
          <t>Meeting room table (10 p.)</t>
        </is>
      </c>
      <c r="D466" s="185" t="inlineStr">
        <is>
          <t>stelpost</t>
        </is>
      </c>
      <c r="E466" s="186">
        <f>K466</f>
        <v/>
      </c>
      <c r="F466" s="477">
        <f>CEILING(L466*$M$7,$M$8)</f>
        <v/>
      </c>
      <c r="G466" s="477">
        <f>ROUND(E466*F466,0)</f>
        <v/>
      </c>
      <c r="H466" s="188" t="n"/>
      <c r="I466" s="189" t="inlineStr">
        <is>
          <t>Meubilair</t>
        </is>
      </c>
      <c r="J466" s="188" t="n"/>
      <c r="K466" s="220" t="n">
        <v>0</v>
      </c>
      <c r="L466" s="481" t="n">
        <v>1149</v>
      </c>
      <c r="M466" s="480">
        <f>K466*L466</f>
        <v/>
      </c>
    </row>
    <row r="467" outlineLevel="2">
      <c r="A467" s="182" t="n"/>
      <c r="B467" s="219" t="n">
        <v>10</v>
      </c>
      <c r="C467" s="184" t="inlineStr">
        <is>
          <t>Meeting room table (6 p.)</t>
        </is>
      </c>
      <c r="D467" s="185" t="inlineStr">
        <is>
          <t>stelpost</t>
        </is>
      </c>
      <c r="E467" s="186">
        <f>K467</f>
        <v/>
      </c>
      <c r="F467" s="477">
        <f>CEILING(L467*$M$7,$M$8)</f>
        <v/>
      </c>
      <c r="G467" s="477">
        <f>ROUND(E467*F467,0)</f>
        <v/>
      </c>
      <c r="H467" s="188" t="n"/>
      <c r="I467" s="189" t="inlineStr">
        <is>
          <t>Meubilair</t>
        </is>
      </c>
      <c r="J467" s="188" t="n"/>
      <c r="K467" s="220" t="n">
        <v>0</v>
      </c>
      <c r="L467" s="481" t="n">
        <v>625</v>
      </c>
      <c r="M467" s="480">
        <f>K467*L467</f>
        <v/>
      </c>
    </row>
    <row r="468" outlineLevel="2">
      <c r="A468" s="182" t="n"/>
      <c r="B468" s="215" t="n">
        <v>11</v>
      </c>
      <c r="C468" s="184" t="inlineStr">
        <is>
          <t>Meeting room table ( 4 p.)</t>
        </is>
      </c>
      <c r="D468" s="185" t="inlineStr">
        <is>
          <t>stelpost</t>
        </is>
      </c>
      <c r="E468" s="186" t="n"/>
      <c r="F468" s="477" t="n"/>
      <c r="G468" s="477" t="n"/>
      <c r="H468" s="188" t="n"/>
      <c r="I468" s="189" t="n"/>
      <c r="J468" s="188" t="n"/>
      <c r="K468" s="220" t="n">
        <v>0</v>
      </c>
      <c r="L468" s="481" t="n">
        <v>625</v>
      </c>
      <c r="M468" s="480">
        <f>K468*L468</f>
        <v/>
      </c>
    </row>
    <row r="469" outlineLevel="2">
      <c r="A469" s="182" t="n"/>
      <c r="B469" s="219" t="n">
        <v>12</v>
      </c>
      <c r="C469" s="184" t="inlineStr">
        <is>
          <t xml:space="preserve">Open space meeting room chairs </t>
        </is>
      </c>
      <c r="D469" s="185" t="inlineStr">
        <is>
          <t>stelpost</t>
        </is>
      </c>
      <c r="E469" s="186">
        <f>K469</f>
        <v/>
      </c>
      <c r="F469" s="477">
        <f>CEILING(L469*$M$7,$M$8)</f>
        <v/>
      </c>
      <c r="G469" s="477">
        <f>ROUND(E469*F469,0)</f>
        <v/>
      </c>
      <c r="H469" s="188" t="n"/>
      <c r="I469" s="189" t="inlineStr">
        <is>
          <t>Meubilair</t>
        </is>
      </c>
      <c r="J469" s="188" t="n"/>
      <c r="K469" s="220" t="n">
        <v>0</v>
      </c>
      <c r="L469" s="481" t="n">
        <v>129</v>
      </c>
      <c r="M469" s="480">
        <f>K469*L469</f>
        <v/>
      </c>
    </row>
    <row r="470" outlineLevel="2">
      <c r="A470" s="182" t="n"/>
      <c r="B470" s="219" t="n">
        <v>13</v>
      </c>
      <c r="C470" s="184" t="inlineStr">
        <is>
          <t xml:space="preserve">Open space meeting room table </t>
        </is>
      </c>
      <c r="D470" s="185" t="inlineStr">
        <is>
          <t>stelpost</t>
        </is>
      </c>
      <c r="E470" s="186">
        <f>K470</f>
        <v/>
      </c>
      <c r="F470" s="477">
        <f>CEILING(L470*$M$7,$M$8)</f>
        <v/>
      </c>
      <c r="G470" s="477">
        <f>ROUND(E470*F470,0)</f>
        <v/>
      </c>
      <c r="H470" s="194" t="n"/>
      <c r="I470" s="189" t="inlineStr">
        <is>
          <t>Meubilair</t>
        </is>
      </c>
      <c r="J470" s="194" t="n"/>
      <c r="K470" s="220" t="n">
        <v>0</v>
      </c>
      <c r="L470" s="481" t="n">
        <v>965</v>
      </c>
      <c r="M470" s="480">
        <f>K470*L470</f>
        <v/>
      </c>
    </row>
    <row r="471" outlineLevel="2">
      <c r="A471" s="182" t="n"/>
      <c r="B471" s="215" t="n">
        <v>14</v>
      </c>
      <c r="C471" s="184" t="inlineStr">
        <is>
          <t xml:space="preserve">Lounge sofa </t>
        </is>
      </c>
      <c r="D471" s="185" t="inlineStr">
        <is>
          <t>stelpost</t>
        </is>
      </c>
      <c r="E471" s="186" t="n"/>
      <c r="F471" s="477" t="n"/>
      <c r="G471" s="477" t="n"/>
      <c r="H471" s="194" t="n"/>
      <c r="I471" s="189" t="n"/>
      <c r="J471" s="194" t="n"/>
      <c r="K471" s="220" t="n">
        <v>0</v>
      </c>
      <c r="L471" s="481" t="n">
        <v>3649</v>
      </c>
      <c r="M471" s="480">
        <f>K471*L471</f>
        <v/>
      </c>
    </row>
    <row r="472" outlineLevel="2">
      <c r="A472" s="182" t="n"/>
      <c r="B472" s="219" t="n">
        <v>15</v>
      </c>
      <c r="C472" s="184" t="inlineStr">
        <is>
          <t xml:space="preserve">Arm chairs </t>
        </is>
      </c>
      <c r="D472" s="185" t="inlineStr">
        <is>
          <t>stelpost</t>
        </is>
      </c>
      <c r="E472" s="186" t="n"/>
      <c r="F472" s="477" t="n"/>
      <c r="G472" s="477" t="n"/>
      <c r="H472" s="194" t="n"/>
      <c r="I472" s="189" t="n"/>
      <c r="J472" s="194" t="n"/>
      <c r="K472" s="220" t="n">
        <v>0</v>
      </c>
      <c r="L472" s="481" t="n">
        <v>267</v>
      </c>
      <c r="M472" s="480">
        <f>K472*L472</f>
        <v/>
      </c>
    </row>
    <row r="473" outlineLevel="2">
      <c r="A473" s="182" t="n"/>
      <c r="B473" s="215" t="n">
        <v>16</v>
      </c>
      <c r="C473" s="184" t="inlineStr">
        <is>
          <t xml:space="preserve">Side tables </t>
        </is>
      </c>
      <c r="D473" s="185" t="inlineStr">
        <is>
          <t>stelpost</t>
        </is>
      </c>
      <c r="E473" s="186">
        <f>K473</f>
        <v/>
      </c>
      <c r="F473" s="477">
        <f>CEILING(L473*$M$7,$M$8)</f>
        <v/>
      </c>
      <c r="G473" s="477">
        <f>ROUND(E473*F473,0)</f>
        <v/>
      </c>
      <c r="H473" s="194" t="n"/>
      <c r="I473" s="189" t="inlineStr">
        <is>
          <t>Meubilair</t>
        </is>
      </c>
      <c r="J473" s="194" t="n"/>
      <c r="K473" s="220" t="n">
        <v>0</v>
      </c>
      <c r="L473" s="481" t="n">
        <v>129</v>
      </c>
      <c r="M473" s="480">
        <f>K473*L473</f>
        <v/>
      </c>
    </row>
    <row r="474" outlineLevel="2">
      <c r="A474" s="182" t="n"/>
      <c r="B474" s="219" t="n">
        <v>17</v>
      </c>
      <c r="C474" s="184" t="inlineStr">
        <is>
          <t xml:space="preserve">Workcafe tables </t>
        </is>
      </c>
      <c r="D474" s="185" t="inlineStr">
        <is>
          <t>stelpost</t>
        </is>
      </c>
      <c r="E474" s="186">
        <f>K474</f>
        <v/>
      </c>
      <c r="F474" s="477">
        <f>CEILING(L474*$M$7,$M$8)</f>
        <v/>
      </c>
      <c r="G474" s="477">
        <f>ROUND(E474*F474,0)</f>
        <v/>
      </c>
      <c r="H474" s="194" t="n"/>
      <c r="I474" s="189" t="inlineStr">
        <is>
          <t>Meubilair</t>
        </is>
      </c>
      <c r="J474" s="194" t="n"/>
      <c r="K474" s="220" t="n">
        <v>0</v>
      </c>
      <c r="L474" s="481" t="n">
        <v>209</v>
      </c>
      <c r="M474" s="480">
        <f>K474*L474</f>
        <v/>
      </c>
    </row>
    <row r="475" outlineLevel="2">
      <c r="A475" s="182" t="n"/>
      <c r="B475" s="219" t="n">
        <v>18</v>
      </c>
      <c r="C475" s="184" t="inlineStr">
        <is>
          <t xml:space="preserve">Workcafe chairs </t>
        </is>
      </c>
      <c r="D475" s="185" t="inlineStr">
        <is>
          <t>stelpost</t>
        </is>
      </c>
      <c r="E475" s="186">
        <f>K475</f>
        <v/>
      </c>
      <c r="F475" s="477">
        <f>CEILING(L475*$M$7,$M$8)</f>
        <v/>
      </c>
      <c r="G475" s="477">
        <f>ROUND(E475*F475,0)</f>
        <v/>
      </c>
      <c r="H475" s="194" t="n"/>
      <c r="I475" s="189" t="inlineStr">
        <is>
          <t>Meubilair</t>
        </is>
      </c>
      <c r="J475" s="194" t="n"/>
      <c r="K475" s="220" t="n">
        <v>0</v>
      </c>
      <c r="L475" s="481" t="n">
        <v>106</v>
      </c>
      <c r="M475" s="480">
        <f>K475*L475</f>
        <v/>
      </c>
    </row>
    <row r="476" outlineLevel="2">
      <c r="A476" s="182" t="n"/>
      <c r="B476" s="215" t="n">
        <v>19</v>
      </c>
      <c r="C476" s="184" t="inlineStr">
        <is>
          <t>Phonebooths (1 p.)</t>
        </is>
      </c>
      <c r="D476" s="185" t="inlineStr">
        <is>
          <t>stelpost</t>
        </is>
      </c>
      <c r="E476" s="186" t="n"/>
      <c r="F476" s="477" t="n"/>
      <c r="G476" s="477" t="n"/>
      <c r="H476" s="194" t="n"/>
      <c r="I476" s="189" t="n"/>
      <c r="J476" s="194" t="n"/>
      <c r="K476" s="220" t="n">
        <v>0</v>
      </c>
      <c r="L476" s="481" t="n">
        <v>2949</v>
      </c>
      <c r="M476" s="480">
        <f>K476*L476</f>
        <v/>
      </c>
    </row>
    <row r="477" outlineLevel="2">
      <c r="A477" s="182" t="n"/>
      <c r="B477" s="219" t="n">
        <v>20</v>
      </c>
      <c r="C477" s="184" t="inlineStr">
        <is>
          <t xml:space="preserve">Transport and labour </t>
        </is>
      </c>
      <c r="D477" s="185" t="inlineStr">
        <is>
          <t>stelpost</t>
        </is>
      </c>
      <c r="E477" s="186">
        <f>K477</f>
        <v/>
      </c>
      <c r="F477" s="477">
        <f>CEILING(L477*$M$7,$M$8)</f>
        <v/>
      </c>
      <c r="G477" s="477">
        <f>ROUND(E477*F477,0)</f>
        <v/>
      </c>
      <c r="H477" s="194" t="n"/>
      <c r="I477" s="189" t="inlineStr">
        <is>
          <t>Meubilair</t>
        </is>
      </c>
      <c r="J477" s="194" t="n"/>
      <c r="K477" s="220" t="n">
        <v>0</v>
      </c>
      <c r="L477" s="481" t="n">
        <v>2425</v>
      </c>
      <c r="M477" s="480">
        <f>K477*L477</f>
        <v/>
      </c>
    </row>
    <row r="478" hidden="1" outlineLevel="2">
      <c r="A478" s="182" t="n"/>
      <c r="B478" s="219" t="n">
        <v>17</v>
      </c>
      <c r="C478" s="184" t="n"/>
      <c r="D478" s="185" t="inlineStr">
        <is>
          <t>post</t>
        </is>
      </c>
      <c r="E478" s="186">
        <f>K478</f>
        <v/>
      </c>
      <c r="F478" s="477">
        <f>CEILING(L478*$M$7,$M$8)</f>
        <v/>
      </c>
      <c r="G478" s="477">
        <f>ROUND(E478*F478,0)</f>
        <v/>
      </c>
      <c r="H478" s="194" t="n"/>
      <c r="I478" s="189" t="inlineStr">
        <is>
          <t>Meubilair</t>
        </is>
      </c>
      <c r="J478" s="194" t="n"/>
      <c r="K478" s="478" t="n">
        <v>0</v>
      </c>
      <c r="L478" s="481" t="n">
        <v>0</v>
      </c>
      <c r="M478" s="480">
        <f>K478*L478</f>
        <v/>
      </c>
    </row>
    <row r="479" outlineLevel="2">
      <c r="A479" s="195" t="n"/>
      <c r="B479" s="219" t="n"/>
      <c r="C479" s="184" t="n"/>
      <c r="D479" s="185" t="n"/>
      <c r="E479" s="486" t="n"/>
      <c r="F479" s="477" t="n"/>
      <c r="G479" s="477" t="n"/>
      <c r="H479" s="188" t="n"/>
      <c r="I479" s="189" t="n"/>
      <c r="J479" s="188" t="n"/>
      <c r="K479" s="220" t="n"/>
      <c r="L479" s="481" t="n"/>
      <c r="M479" s="480" t="n"/>
    </row>
    <row r="480" outlineLevel="2">
      <c r="E480" s="38" t="n"/>
      <c r="F480" s="38" t="n"/>
      <c r="G480" s="482">
        <f>SUM(G458:G479)</f>
        <v/>
      </c>
      <c r="K480" s="483" t="n"/>
      <c r="M480" s="484">
        <f>SUM(M458:M479)</f>
        <v/>
      </c>
    </row>
    <row r="481" outlineLevel="1">
      <c r="E481" s="38" t="n"/>
      <c r="F481" s="38" t="n"/>
      <c r="G481" s="38" t="n"/>
      <c r="K481" s="483" t="n"/>
    </row>
    <row r="482" outlineLevel="2">
      <c r="A482" s="179" t="n">
        <v>420</v>
      </c>
      <c r="B482" s="279" t="inlineStr">
        <is>
          <t>LOOSE FURNISHINGS (Out of scope)</t>
        </is>
      </c>
      <c r="C482" s="280" t="n"/>
      <c r="D482" s="280" t="n"/>
      <c r="E482" s="280" t="n"/>
      <c r="F482" s="280" t="n"/>
      <c r="G482" s="280" t="n"/>
      <c r="H482" s="281" t="n"/>
      <c r="I482" s="282" t="n"/>
      <c r="J482" s="281" t="n"/>
      <c r="K482" s="485" t="n"/>
      <c r="L482" s="410" t="n"/>
      <c r="M482" s="199" t="n"/>
    </row>
    <row r="483" hidden="1" outlineLevel="2">
      <c r="A483" s="182" t="n"/>
      <c r="B483" s="215" t="n">
        <v>1</v>
      </c>
      <c r="C483" s="206" t="inlineStr">
        <is>
          <t>Other loose furnishings. [Describe]</t>
        </is>
      </c>
      <c r="D483" s="185" t="inlineStr">
        <is>
          <t>post</t>
        </is>
      </c>
      <c r="E483" s="186">
        <f>K483</f>
        <v/>
      </c>
      <c r="F483" s="477">
        <f>CEILING(L483*$M$7,$M$8)</f>
        <v/>
      </c>
      <c r="G483" s="477">
        <f>ROUND(E483*F483,0)</f>
        <v/>
      </c>
      <c r="H483" s="188" t="n"/>
      <c r="I483" s="189" t="inlineStr">
        <is>
          <t>Losse inrichting</t>
        </is>
      </c>
      <c r="J483" s="188" t="n"/>
      <c r="K483" s="478" t="n">
        <v>0</v>
      </c>
      <c r="L483" s="481" t="n">
        <v>0</v>
      </c>
      <c r="M483" s="480">
        <f>K483*L483</f>
        <v/>
      </c>
    </row>
    <row r="484" hidden="1" outlineLevel="2">
      <c r="A484" s="182" t="n"/>
      <c r="B484" s="215" t="n">
        <v>2</v>
      </c>
      <c r="C484" s="206" t="inlineStr">
        <is>
          <t>Warehouse shelving/mailroom, etc. [Describe]</t>
        </is>
      </c>
      <c r="D484" s="185" t="inlineStr">
        <is>
          <t>post</t>
        </is>
      </c>
      <c r="E484" s="186">
        <f>K484</f>
        <v/>
      </c>
      <c r="F484" s="477">
        <f>CEILING(L484*$M$7,$M$8)</f>
        <v/>
      </c>
      <c r="G484" s="477">
        <f>ROUND(E484*F484,0)</f>
        <v/>
      </c>
      <c r="H484" s="188" t="n"/>
      <c r="I484" s="189" t="inlineStr">
        <is>
          <t>Losse inrichting</t>
        </is>
      </c>
      <c r="J484" s="188" t="n"/>
      <c r="K484" s="220" t="n">
        <v>0</v>
      </c>
      <c r="L484" s="479" t="n">
        <v>0</v>
      </c>
      <c r="M484" s="480">
        <f>K484*L484</f>
        <v/>
      </c>
    </row>
    <row r="485" hidden="1" outlineLevel="2">
      <c r="A485" s="182" t="n"/>
      <c r="B485" s="215" t="n">
        <v>3</v>
      </c>
      <c r="C485" s="206" t="inlineStr">
        <is>
          <t>Coat racks. [Describe]</t>
        </is>
      </c>
      <c r="D485" s="185" t="inlineStr">
        <is>
          <t>post</t>
        </is>
      </c>
      <c r="E485" s="186">
        <f>K485</f>
        <v/>
      </c>
      <c r="F485" s="477">
        <f>CEILING(L485*$M$7,$M$8)</f>
        <v/>
      </c>
      <c r="G485" s="477">
        <f>ROUND(E485*F485,0)</f>
        <v/>
      </c>
      <c r="H485" s="188" t="n"/>
      <c r="I485" s="189" t="inlineStr">
        <is>
          <t>Losse inrichting</t>
        </is>
      </c>
      <c r="J485" s="188" t="n"/>
      <c r="K485" s="220" t="n">
        <v>0</v>
      </c>
      <c r="L485" s="479" t="n">
        <v>0</v>
      </c>
      <c r="M485" s="480">
        <f>K485*L485</f>
        <v/>
      </c>
    </row>
    <row r="486" hidden="1" outlineLevel="2">
      <c r="A486" s="182" t="n"/>
      <c r="B486" s="215" t="n">
        <v>4</v>
      </c>
      <c r="C486" s="206" t="inlineStr">
        <is>
          <t>Waste bins. [Describe]</t>
        </is>
      </c>
      <c r="D486" s="185" t="inlineStr">
        <is>
          <t>post</t>
        </is>
      </c>
      <c r="E486" s="186">
        <f>K486</f>
        <v/>
      </c>
      <c r="F486" s="477">
        <f>CEILING(L486*$M$7,$M$8)</f>
        <v/>
      </c>
      <c r="G486" s="477">
        <f>ROUND(E486*F486,0)</f>
        <v/>
      </c>
      <c r="H486" s="188" t="n"/>
      <c r="I486" s="189" t="inlineStr">
        <is>
          <t>Losse inrichting</t>
        </is>
      </c>
      <c r="J486" s="188" t="n"/>
      <c r="K486" s="220" t="n">
        <v>0</v>
      </c>
      <c r="L486" s="479" t="n">
        <v>0</v>
      </c>
      <c r="M486" s="480">
        <f>K486*L486</f>
        <v/>
      </c>
    </row>
    <row r="487" hidden="1" outlineLevel="2">
      <c r="A487" s="182" t="n"/>
      <c r="B487" s="183" t="n">
        <v>5</v>
      </c>
      <c r="C487" s="184" t="n"/>
      <c r="D487" s="185" t="inlineStr">
        <is>
          <t>post</t>
        </is>
      </c>
      <c r="E487" s="186">
        <f>K487</f>
        <v/>
      </c>
      <c r="F487" s="477">
        <f>CEILING(L487*$M$7,$M$8)</f>
        <v/>
      </c>
      <c r="G487" s="477">
        <f>ROUND(E487*F487,0)</f>
        <v/>
      </c>
      <c r="H487" s="194" t="n"/>
      <c r="I487" s="189" t="inlineStr">
        <is>
          <t>Losse inrichting</t>
        </is>
      </c>
      <c r="J487" s="194" t="n"/>
      <c r="K487" s="478" t="n">
        <v>0</v>
      </c>
      <c r="L487" s="481" t="n">
        <v>0</v>
      </c>
      <c r="M487" s="480">
        <f>K487*L487</f>
        <v/>
      </c>
    </row>
    <row r="488" hidden="1" outlineLevel="2">
      <c r="A488" s="182" t="n"/>
      <c r="B488" s="183" t="n">
        <v>6</v>
      </c>
      <c r="C488" s="184" t="n"/>
      <c r="D488" s="185" t="inlineStr">
        <is>
          <t>post</t>
        </is>
      </c>
      <c r="E488" s="186">
        <f>K488</f>
        <v/>
      </c>
      <c r="F488" s="477">
        <f>CEILING(L488*$M$7,$M$8)</f>
        <v/>
      </c>
      <c r="G488" s="477">
        <f>ROUND(E488*F488,0)</f>
        <v/>
      </c>
      <c r="H488" s="194" t="n"/>
      <c r="I488" s="189" t="inlineStr">
        <is>
          <t>Losse inrichting</t>
        </is>
      </c>
      <c r="J488" s="194" t="n"/>
      <c r="K488" s="478" t="n">
        <v>0</v>
      </c>
      <c r="L488" s="481" t="n">
        <v>0</v>
      </c>
      <c r="M488" s="480">
        <f>K488*L488</f>
        <v/>
      </c>
    </row>
    <row r="489" hidden="1" outlineLevel="2">
      <c r="A489" s="182" t="n"/>
      <c r="B489" s="183" t="n">
        <v>7</v>
      </c>
      <c r="C489" s="184" t="n"/>
      <c r="D489" s="185" t="inlineStr">
        <is>
          <t>post</t>
        </is>
      </c>
      <c r="E489" s="186">
        <f>K489</f>
        <v/>
      </c>
      <c r="F489" s="477">
        <f>CEILING(L489*$M$7,$M$8)</f>
        <v/>
      </c>
      <c r="G489" s="477">
        <f>ROUND(E489*F489,0)</f>
        <v/>
      </c>
      <c r="H489" s="194" t="n"/>
      <c r="I489" s="189" t="inlineStr">
        <is>
          <t>Losse inrichting</t>
        </is>
      </c>
      <c r="J489" s="194" t="n"/>
      <c r="K489" s="478" t="n">
        <v>0</v>
      </c>
      <c r="L489" s="481" t="n">
        <v>0</v>
      </c>
      <c r="M489" s="480">
        <f>K489*L489</f>
        <v/>
      </c>
    </row>
    <row r="490" hidden="1" outlineLevel="2">
      <c r="A490" s="182" t="n"/>
      <c r="B490" s="183" t="n">
        <v>8</v>
      </c>
      <c r="C490" s="184" t="n"/>
      <c r="D490" s="185" t="inlineStr">
        <is>
          <t>post</t>
        </is>
      </c>
      <c r="E490" s="186">
        <f>K490</f>
        <v/>
      </c>
      <c r="F490" s="477">
        <f>CEILING(L490*$M$7,$M$8)</f>
        <v/>
      </c>
      <c r="G490" s="477">
        <f>ROUND(E490*F490,0)</f>
        <v/>
      </c>
      <c r="H490" s="194" t="n"/>
      <c r="I490" s="189" t="inlineStr">
        <is>
          <t>Losse inrichting</t>
        </is>
      </c>
      <c r="J490" s="194" t="n"/>
      <c r="K490" s="478" t="n">
        <v>0</v>
      </c>
      <c r="L490" s="481" t="n">
        <v>0</v>
      </c>
      <c r="M490" s="480">
        <f>K490*L490</f>
        <v/>
      </c>
    </row>
    <row r="491" hidden="1" outlineLevel="2">
      <c r="A491" s="182" t="n"/>
      <c r="B491" s="183" t="n">
        <v>9</v>
      </c>
      <c r="C491" s="184" t="n"/>
      <c r="D491" s="185" t="inlineStr">
        <is>
          <t>post</t>
        </is>
      </c>
      <c r="E491" s="186">
        <f>K491</f>
        <v/>
      </c>
      <c r="F491" s="477">
        <f>CEILING(L491*$M$7,$M$8)</f>
        <v/>
      </c>
      <c r="G491" s="477">
        <f>ROUND(E491*F491,0)</f>
        <v/>
      </c>
      <c r="H491" s="194" t="n"/>
      <c r="I491" s="189" t="inlineStr">
        <is>
          <t>Losse inrichting</t>
        </is>
      </c>
      <c r="J491" s="194" t="n"/>
      <c r="K491" s="478" t="n">
        <v>0</v>
      </c>
      <c r="L491" s="481" t="n">
        <v>0</v>
      </c>
      <c r="M491" s="480">
        <f>K491*L491</f>
        <v/>
      </c>
    </row>
    <row r="492" hidden="1" outlineLevel="2">
      <c r="A492" s="182" t="n"/>
      <c r="B492" s="183" t="n">
        <v>10</v>
      </c>
      <c r="C492" s="184" t="n"/>
      <c r="D492" s="185" t="inlineStr">
        <is>
          <t>post</t>
        </is>
      </c>
      <c r="E492" s="186">
        <f>K492</f>
        <v/>
      </c>
      <c r="F492" s="477">
        <f>CEILING(L492*$M$7,$M$8)</f>
        <v/>
      </c>
      <c r="G492" s="477">
        <f>ROUND(E492*F492,0)</f>
        <v/>
      </c>
      <c r="H492" s="194" t="n"/>
      <c r="I492" s="189" t="inlineStr">
        <is>
          <t>Losse inrichting</t>
        </is>
      </c>
      <c r="J492" s="194" t="n"/>
      <c r="K492" s="478" t="n">
        <v>0</v>
      </c>
      <c r="L492" s="481" t="n">
        <v>0</v>
      </c>
      <c r="M492" s="480">
        <f>K492*L492</f>
        <v/>
      </c>
    </row>
    <row r="493" hidden="1" outlineLevel="2">
      <c r="A493" s="195" t="n"/>
      <c r="B493" s="215" t="n"/>
      <c r="C493" s="184" t="n"/>
      <c r="D493" s="185" t="n"/>
      <c r="E493" s="186" t="n"/>
      <c r="F493" s="477" t="n"/>
      <c r="G493" s="477" t="n"/>
      <c r="H493" s="188" t="n"/>
      <c r="I493" s="189" t="n"/>
      <c r="J493" s="188" t="n"/>
      <c r="K493" s="220" t="n"/>
      <c r="L493" s="481" t="n"/>
      <c r="M493" s="480" t="n"/>
    </row>
    <row r="494" hidden="1" outlineLevel="2">
      <c r="E494" s="38" t="n"/>
      <c r="F494" s="38" t="n"/>
      <c r="G494" s="482">
        <f>SUM(G483:G493)</f>
        <v/>
      </c>
      <c r="K494" s="483" t="n"/>
      <c r="M494" s="484">
        <f>SUM(M483:M493)</f>
        <v/>
      </c>
    </row>
    <row r="495" outlineLevel="1">
      <c r="E495" s="38" t="n"/>
      <c r="F495" s="38" t="n"/>
      <c r="G495" s="38" t="n"/>
      <c r="K495" s="483" t="n"/>
    </row>
    <row r="496" outlineLevel="2">
      <c r="A496" s="179" t="n">
        <v>430</v>
      </c>
      <c r="B496" s="279" t="inlineStr">
        <is>
          <t>AUDIOVISUAL INSTALLATION</t>
        </is>
      </c>
      <c r="C496" s="280" t="n"/>
      <c r="D496" s="280" t="n"/>
      <c r="E496" s="280" t="n"/>
      <c r="F496" s="280" t="n"/>
      <c r="G496" s="280" t="n"/>
      <c r="H496" s="281" t="n"/>
      <c r="I496" s="282" t="n"/>
      <c r="J496" s="281" t="n"/>
      <c r="K496" s="485" t="n"/>
      <c r="L496" s="410" t="n"/>
      <c r="M496" s="199" t="n"/>
    </row>
    <row r="497" outlineLevel="2">
      <c r="A497" s="182" t="n"/>
      <c r="B497" s="215" t="n">
        <v>1</v>
      </c>
      <c r="C497" s="206" t="inlineStr">
        <is>
          <t>Meeting room 4 p., including TV, meeting equipment, and installation.</t>
        </is>
      </c>
      <c r="D497" s="185" t="inlineStr">
        <is>
          <t>stelpost</t>
        </is>
      </c>
      <c r="E497" s="186">
        <f>K497</f>
        <v/>
      </c>
      <c r="F497" s="477">
        <f>CEILING(L497*$M$7,$M$8)</f>
        <v/>
      </c>
      <c r="G497" s="477">
        <f>ROUND(E497*F497,0)</f>
        <v/>
      </c>
      <c r="H497" s="188" t="n"/>
      <c r="I497" s="221" t="inlineStr">
        <is>
          <t>AV</t>
        </is>
      </c>
      <c r="J497" s="188" t="n"/>
      <c r="K497" s="220" t="n">
        <v>0</v>
      </c>
      <c r="L497" s="479" t="n">
        <v>5704.44</v>
      </c>
      <c r="M497" s="480">
        <f>K497*L497</f>
        <v/>
      </c>
    </row>
    <row r="498" outlineLevel="2">
      <c r="A498" s="182" t="n"/>
      <c r="B498" s="215" t="n">
        <v>2</v>
      </c>
      <c r="C498" s="206" t="inlineStr">
        <is>
          <t>Meeting room 6 p., including TV, meeting equipment, and installation.</t>
        </is>
      </c>
      <c r="D498" s="185" t="inlineStr">
        <is>
          <t>stelpost</t>
        </is>
      </c>
      <c r="E498" s="186">
        <f>K498</f>
        <v/>
      </c>
      <c r="F498" s="477">
        <f>CEILING(L498*$M$7,$M$8)</f>
        <v/>
      </c>
      <c r="G498" s="477">
        <f>ROUND(E498*F498,0)</f>
        <v/>
      </c>
      <c r="H498" s="188" t="n"/>
      <c r="I498" s="221" t="inlineStr">
        <is>
          <t>AV</t>
        </is>
      </c>
      <c r="J498" s="188" t="n"/>
      <c r="K498" s="220" t="n">
        <v>0</v>
      </c>
      <c r="L498" s="479" t="n">
        <v>6382</v>
      </c>
      <c r="M498" s="480">
        <f>K498*L498</f>
        <v/>
      </c>
    </row>
    <row r="499" outlineLevel="2">
      <c r="A499" s="182" t="n"/>
      <c r="B499" s="215" t="n">
        <v>3</v>
      </c>
      <c r="C499" s="206" t="inlineStr">
        <is>
          <t>Meeting room 10 p., including TV, meeting equipment, and installation.</t>
        </is>
      </c>
      <c r="D499" s="185" t="inlineStr">
        <is>
          <t>stelpost</t>
        </is>
      </c>
      <c r="E499" s="186">
        <f>K499</f>
        <v/>
      </c>
      <c r="F499" s="477">
        <f>CEILING(L499*$M$7,$M$8)</f>
        <v/>
      </c>
      <c r="G499" s="477">
        <f>ROUND(E499*F499,0)</f>
        <v/>
      </c>
      <c r="H499" s="188" t="n"/>
      <c r="I499" s="221" t="inlineStr">
        <is>
          <t>AV</t>
        </is>
      </c>
      <c r="J499" s="188" t="n"/>
      <c r="K499" s="220" t="n">
        <v>0</v>
      </c>
      <c r="L499" s="479" t="n">
        <v>11564.44</v>
      </c>
      <c r="M499" s="480">
        <f>K499*L499</f>
        <v/>
      </c>
    </row>
    <row r="500" outlineLevel="2">
      <c r="A500" s="182" t="n"/>
      <c r="B500" s="215" t="n">
        <v>4</v>
      </c>
      <c r="C500" s="206" t="inlineStr">
        <is>
          <t xml:space="preserve">Meeting room open space </t>
        </is>
      </c>
      <c r="D500" s="185" t="inlineStr">
        <is>
          <t>stelpost</t>
        </is>
      </c>
      <c r="E500" s="186">
        <f>K500</f>
        <v/>
      </c>
      <c r="F500" s="477">
        <f>CEILING(L500*$M$7,$M$8)</f>
        <v/>
      </c>
      <c r="G500" s="477">
        <f>ROUND(E500*F500,0)</f>
        <v/>
      </c>
      <c r="H500" s="188" t="n"/>
      <c r="I500" s="221" t="inlineStr">
        <is>
          <t>AV</t>
        </is>
      </c>
      <c r="J500" s="188" t="n"/>
      <c r="K500" s="220" t="n">
        <v>0</v>
      </c>
      <c r="L500" s="479" t="n">
        <v>7292</v>
      </c>
      <c r="M500" s="480">
        <f>K500*L500</f>
        <v/>
      </c>
    </row>
    <row r="501" outlineLevel="2">
      <c r="A501" s="182" t="n"/>
      <c r="B501" s="215" t="n">
        <v>5</v>
      </c>
      <c r="C501" s="206" t="inlineStr">
        <is>
          <t xml:space="preserve">Workcafe, narrowcasting </t>
        </is>
      </c>
      <c r="D501" s="185" t="inlineStr">
        <is>
          <t>stelpost</t>
        </is>
      </c>
      <c r="E501" s="186">
        <f>K501</f>
        <v/>
      </c>
      <c r="F501" s="477">
        <f>CEILING(L501*$M$7,$M$8)</f>
        <v/>
      </c>
      <c r="G501" s="477">
        <f>ROUND(E501*F501,0)</f>
        <v/>
      </c>
      <c r="H501" s="188" t="n"/>
      <c r="I501" s="221" t="inlineStr">
        <is>
          <t>AV</t>
        </is>
      </c>
      <c r="J501" s="188" t="n"/>
      <c r="K501" s="220" t="n">
        <v>0</v>
      </c>
      <c r="L501" s="479" t="n">
        <v>1320</v>
      </c>
      <c r="M501" s="480">
        <f>K501*L501</f>
        <v/>
      </c>
    </row>
    <row r="502" outlineLevel="2">
      <c r="A502" s="182" t="n"/>
      <c r="B502" s="215" t="n">
        <v>6</v>
      </c>
      <c r="C502" s="206" t="inlineStr">
        <is>
          <t>Workingstations (2x duo)</t>
        </is>
      </c>
      <c r="D502" s="185" t="inlineStr">
        <is>
          <t>stelpost</t>
        </is>
      </c>
      <c r="E502" s="186">
        <f>K502</f>
        <v/>
      </c>
      <c r="F502" s="477">
        <f>CEILING(L502*$M$7,$M$8)</f>
        <v/>
      </c>
      <c r="G502" s="477">
        <f>ROUND(E502*F502,0)</f>
        <v/>
      </c>
      <c r="H502" s="188" t="n"/>
      <c r="I502" s="221" t="inlineStr">
        <is>
          <t>AV</t>
        </is>
      </c>
      <c r="J502" s="188" t="n"/>
      <c r="K502" s="220" t="n">
        <v>0</v>
      </c>
      <c r="L502" s="479" t="n">
        <v>943.33</v>
      </c>
      <c r="M502" s="480">
        <f>K502*L502</f>
        <v/>
      </c>
    </row>
    <row r="503" outlineLevel="2">
      <c r="A503" s="182" t="n"/>
      <c r="B503" s="215" t="n">
        <v>7</v>
      </c>
      <c r="C503" s="206" t="inlineStr">
        <is>
          <t>Workingstations (3x duo)</t>
        </is>
      </c>
      <c r="D503" s="185" t="inlineStr">
        <is>
          <t>stelpost</t>
        </is>
      </c>
      <c r="E503" s="186">
        <f>K503</f>
        <v/>
      </c>
      <c r="F503" s="477">
        <f>CEILING(L503*$M$7,$M$8)</f>
        <v/>
      </c>
      <c r="G503" s="477">
        <f>ROUND(E503*F503,0)</f>
        <v/>
      </c>
      <c r="H503" s="188" t="n"/>
      <c r="I503" s="221" t="inlineStr">
        <is>
          <t>AV</t>
        </is>
      </c>
      <c r="J503" s="188" t="n"/>
      <c r="K503" s="220" t="n">
        <v>0</v>
      </c>
      <c r="L503" s="479" t="n">
        <v>870.8</v>
      </c>
      <c r="M503" s="480">
        <f>K503*L503</f>
        <v/>
      </c>
    </row>
    <row r="504" outlineLevel="2">
      <c r="A504" s="182" t="n"/>
      <c r="B504" s="215" t="n">
        <v>8</v>
      </c>
      <c r="C504" s="206" t="inlineStr">
        <is>
          <t xml:space="preserve">Focus spaces </t>
        </is>
      </c>
      <c r="D504" s="185" t="inlineStr">
        <is>
          <t>stelpost</t>
        </is>
      </c>
      <c r="E504" s="186">
        <f>K504</f>
        <v/>
      </c>
      <c r="F504" s="477">
        <f>CEILING(L504*$M$7,$M$8)</f>
        <v/>
      </c>
      <c r="G504" s="477">
        <f>ROUND(E504*F504,0)</f>
        <v/>
      </c>
      <c r="H504" s="194" t="n"/>
      <c r="I504" s="221" t="inlineStr">
        <is>
          <t>AV</t>
        </is>
      </c>
      <c r="J504" s="194" t="n"/>
      <c r="K504" s="220" t="n">
        <v>0</v>
      </c>
      <c r="L504" s="479" t="n">
        <v>3701.85</v>
      </c>
      <c r="M504" s="480">
        <f>K504*L504</f>
        <v/>
      </c>
    </row>
    <row r="505" outlineLevel="2">
      <c r="A505" s="182" t="n"/>
      <c r="B505" s="215" t="n">
        <v>9</v>
      </c>
      <c r="C505" s="206" t="inlineStr">
        <is>
          <t xml:space="preserve">Reception </t>
        </is>
      </c>
      <c r="D505" s="185" t="inlineStr">
        <is>
          <t>stelpost</t>
        </is>
      </c>
      <c r="E505" s="186">
        <f>K505</f>
        <v/>
      </c>
      <c r="F505" s="477">
        <f>CEILING(L505*$M$7,$M$8)</f>
        <v/>
      </c>
      <c r="G505" s="477">
        <f>ROUND(E505*F505,0)</f>
        <v/>
      </c>
      <c r="H505" s="194" t="n"/>
      <c r="I505" s="221" t="inlineStr">
        <is>
          <t>AV</t>
        </is>
      </c>
      <c r="J505" s="194" t="n"/>
      <c r="K505" s="220" t="n">
        <v>0</v>
      </c>
      <c r="L505" s="479" t="n">
        <v>1850.85</v>
      </c>
      <c r="M505" s="480">
        <f>K505*L505</f>
        <v/>
      </c>
    </row>
    <row r="506" outlineLevel="2">
      <c r="A506" s="182" t="n"/>
      <c r="B506" s="215" t="n">
        <v>10</v>
      </c>
      <c r="C506" s="206" t="inlineStr">
        <is>
          <t xml:space="preserve">Installation and implementation </t>
        </is>
      </c>
      <c r="D506" s="185" t="inlineStr">
        <is>
          <t>stelpost</t>
        </is>
      </c>
      <c r="E506" s="186">
        <f>K506</f>
        <v/>
      </c>
      <c r="F506" s="477">
        <f>CEILING(L506*$M$7,$M$8)</f>
        <v/>
      </c>
      <c r="G506" s="477">
        <f>ROUND(E506*F506,0)</f>
        <v/>
      </c>
      <c r="H506" s="194" t="n"/>
      <c r="I506" s="221" t="inlineStr">
        <is>
          <t>AV</t>
        </is>
      </c>
      <c r="J506" s="194" t="n"/>
      <c r="K506" s="220" t="n">
        <v>0</v>
      </c>
      <c r="L506" s="479" t="n">
        <v>7937</v>
      </c>
      <c r="M506" s="480">
        <f>K506*L506</f>
        <v/>
      </c>
    </row>
    <row r="507" hidden="1" outlineLevel="2">
      <c r="A507" s="182" t="n"/>
      <c r="B507" s="215" t="n">
        <v>11</v>
      </c>
      <c r="C507" s="184" t="n"/>
      <c r="D507" s="185" t="inlineStr">
        <is>
          <t>post</t>
        </is>
      </c>
      <c r="E507" s="186">
        <f>K507</f>
        <v/>
      </c>
      <c r="F507" s="477">
        <f>CEILING(L507*$M$7,$M$8)</f>
        <v/>
      </c>
      <c r="G507" s="477">
        <f>ROUND(E507*F507,0)</f>
        <v/>
      </c>
      <c r="H507" s="194" t="n"/>
      <c r="I507" s="221" t="inlineStr">
        <is>
          <t>AV</t>
        </is>
      </c>
      <c r="J507" s="194" t="n"/>
      <c r="K507" s="478" t="n">
        <v>0</v>
      </c>
      <c r="L507" s="481" t="n">
        <v>0</v>
      </c>
      <c r="M507" s="480">
        <f>K507*L507</f>
        <v/>
      </c>
    </row>
    <row r="508" hidden="1" outlineLevel="2">
      <c r="A508" s="182" t="n"/>
      <c r="B508" s="215" t="n">
        <v>12</v>
      </c>
      <c r="C508" s="184" t="n"/>
      <c r="D508" s="185" t="inlineStr">
        <is>
          <t>post</t>
        </is>
      </c>
      <c r="E508" s="186">
        <f>K508</f>
        <v/>
      </c>
      <c r="F508" s="477">
        <f>CEILING(L508*$M$7,$M$8)</f>
        <v/>
      </c>
      <c r="G508" s="477">
        <f>ROUND(E508*F508,0)</f>
        <v/>
      </c>
      <c r="H508" s="194" t="n"/>
      <c r="I508" s="221" t="inlineStr">
        <is>
          <t>AV</t>
        </is>
      </c>
      <c r="J508" s="194" t="n"/>
      <c r="K508" s="478" t="n">
        <v>0</v>
      </c>
      <c r="L508" s="481" t="n">
        <v>0</v>
      </c>
      <c r="M508" s="480">
        <f>K508*L508</f>
        <v/>
      </c>
    </row>
    <row r="509" hidden="1" outlineLevel="2">
      <c r="A509" s="182" t="n"/>
      <c r="B509" s="215" t="n">
        <v>13</v>
      </c>
      <c r="C509" s="184" t="n"/>
      <c r="D509" s="185" t="inlineStr">
        <is>
          <t>post</t>
        </is>
      </c>
      <c r="E509" s="186">
        <f>K509</f>
        <v/>
      </c>
      <c r="F509" s="477">
        <f>CEILING(L509*$M$7,$M$8)</f>
        <v/>
      </c>
      <c r="G509" s="477">
        <f>ROUND(E509*F509,0)</f>
        <v/>
      </c>
      <c r="H509" s="194" t="n"/>
      <c r="I509" s="221" t="inlineStr">
        <is>
          <t>AV</t>
        </is>
      </c>
      <c r="J509" s="194" t="n"/>
      <c r="K509" s="478" t="n">
        <v>0</v>
      </c>
      <c r="L509" s="481" t="n">
        <v>0</v>
      </c>
      <c r="M509" s="480">
        <f>K509*L509</f>
        <v/>
      </c>
    </row>
    <row r="510" hidden="1" outlineLevel="2">
      <c r="A510" s="195" t="n"/>
      <c r="B510" s="219" t="n"/>
      <c r="C510" s="184" t="n"/>
      <c r="D510" s="185" t="n"/>
      <c r="E510" s="486" t="n"/>
      <c r="F510" s="477" t="n"/>
      <c r="G510" s="477" t="n"/>
      <c r="H510" s="188" t="n"/>
      <c r="I510" s="221" t="n"/>
      <c r="J510" s="188" t="n"/>
      <c r="K510" s="220" t="n"/>
      <c r="L510" s="481" t="n"/>
      <c r="M510" s="480" t="n"/>
    </row>
    <row r="511" outlineLevel="2">
      <c r="E511" s="38" t="n"/>
      <c r="F511" s="38" t="n"/>
      <c r="G511" s="482">
        <f>SUM(G497:G510)</f>
        <v/>
      </c>
      <c r="K511" s="483" t="n"/>
      <c r="M511" s="484">
        <f>SUM(M497:M510)</f>
        <v/>
      </c>
    </row>
    <row r="512" outlineLevel="1">
      <c r="E512" s="38" t="n"/>
      <c r="F512" s="38" t="n"/>
      <c r="G512" s="38" t="n"/>
      <c r="K512" s="483" t="n"/>
    </row>
    <row r="513" outlineLevel="2">
      <c r="A513" s="179" t="n">
        <v>440</v>
      </c>
      <c r="B513" s="279" t="inlineStr">
        <is>
          <t>ACOUSTIC FACILITIES (Out of scope)</t>
        </is>
      </c>
      <c r="C513" s="280" t="n"/>
      <c r="D513" s="280" t="n"/>
      <c r="E513" s="280" t="n"/>
      <c r="F513" s="280" t="n"/>
      <c r="G513" s="280" t="n"/>
      <c r="H513" s="281" t="n"/>
      <c r="I513" s="282" t="n"/>
      <c r="J513" s="281" t="n"/>
      <c r="K513" s="485" t="n"/>
      <c r="L513" s="410" t="n"/>
      <c r="M513" s="199" t="n"/>
    </row>
    <row r="514" hidden="1" outlineLevel="2">
      <c r="A514" s="182" t="n"/>
      <c r="B514" s="215" t="n">
        <v>1</v>
      </c>
      <c r="C514" s="206" t="inlineStr">
        <is>
          <t>Acoustic measures 1. [Description]</t>
        </is>
      </c>
      <c r="D514" s="185" t="inlineStr">
        <is>
          <t>post</t>
        </is>
      </c>
      <c r="E514" s="186">
        <f>K514</f>
        <v/>
      </c>
      <c r="F514" s="477">
        <f>CEILING(L514*$M$7,$M$8)</f>
        <v/>
      </c>
      <c r="G514" s="477">
        <f>ROUND(E514*F514,0)</f>
        <v/>
      </c>
      <c r="H514" s="188" t="n"/>
      <c r="I514" s="221" t="inlineStr">
        <is>
          <t>Akoestisch</t>
        </is>
      </c>
      <c r="J514" s="188" t="n"/>
      <c r="K514" s="220" t="n">
        <v>0</v>
      </c>
      <c r="L514" s="479" t="n">
        <v>0</v>
      </c>
      <c r="M514" s="480">
        <f>K514*L514</f>
        <v/>
      </c>
    </row>
    <row r="515" hidden="1" outlineLevel="2">
      <c r="A515" s="182" t="n"/>
      <c r="B515" s="219" t="n">
        <v>2</v>
      </c>
      <c r="C515" s="184" t="inlineStr">
        <is>
          <t>Acoustic measures 2. [Description]</t>
        </is>
      </c>
      <c r="D515" s="185" t="inlineStr">
        <is>
          <t>post</t>
        </is>
      </c>
      <c r="E515" s="186">
        <f>K515</f>
        <v/>
      </c>
      <c r="F515" s="477">
        <f>CEILING(L515*$M$7,$M$8)</f>
        <v/>
      </c>
      <c r="G515" s="477">
        <f>ROUND(E515*F515,0)</f>
        <v/>
      </c>
      <c r="H515" s="188" t="n"/>
      <c r="I515" s="221" t="inlineStr">
        <is>
          <t>Akoestisch</t>
        </is>
      </c>
      <c r="J515" s="188" t="n"/>
      <c r="K515" s="220" t="n">
        <v>0</v>
      </c>
      <c r="L515" s="481" t="n">
        <v>0</v>
      </c>
      <c r="M515" s="480">
        <f>K515*L515</f>
        <v/>
      </c>
    </row>
    <row r="516" hidden="1" outlineLevel="2">
      <c r="A516" s="182" t="n"/>
      <c r="B516" s="219" t="n">
        <v>3</v>
      </c>
      <c r="C516" s="184" t="inlineStr">
        <is>
          <t>Acoustic measures 3. [Description]</t>
        </is>
      </c>
      <c r="D516" s="185" t="inlineStr">
        <is>
          <t>post</t>
        </is>
      </c>
      <c r="E516" s="186">
        <f>K516</f>
        <v/>
      </c>
      <c r="F516" s="477">
        <f>CEILING(L516*$M$7,$M$8)</f>
        <v/>
      </c>
      <c r="G516" s="477">
        <f>ROUND(E516*F516,0)</f>
        <v/>
      </c>
      <c r="H516" s="188" t="n"/>
      <c r="I516" s="221" t="inlineStr">
        <is>
          <t>Akoestisch</t>
        </is>
      </c>
      <c r="J516" s="188" t="n"/>
      <c r="K516" s="220" t="n">
        <v>0</v>
      </c>
      <c r="L516" s="481" t="n">
        <v>0</v>
      </c>
      <c r="M516" s="480">
        <f>K516*L516</f>
        <v/>
      </c>
    </row>
    <row r="517" hidden="1" outlineLevel="2">
      <c r="A517" s="182" t="n"/>
      <c r="B517" s="219" t="n">
        <v>4</v>
      </c>
      <c r="C517" s="184" t="inlineStr">
        <is>
          <t>Acoustic consultant. [Description of work]</t>
        </is>
      </c>
      <c r="D517" s="185" t="inlineStr">
        <is>
          <t>post</t>
        </is>
      </c>
      <c r="E517" s="186">
        <f>K517</f>
        <v/>
      </c>
      <c r="F517" s="477">
        <f>CEILING(L517*$M$7,$M$8)</f>
        <v/>
      </c>
      <c r="G517" s="477">
        <f>ROUND(E517*F517,0)</f>
        <v/>
      </c>
      <c r="H517" s="188" t="n"/>
      <c r="I517" s="221" t="inlineStr">
        <is>
          <t>Akoestisch</t>
        </is>
      </c>
      <c r="J517" s="188" t="n"/>
      <c r="K517" s="478" t="n">
        <v>0</v>
      </c>
      <c r="L517" s="481" t="n">
        <v>0</v>
      </c>
      <c r="M517" s="480">
        <f>K517*L517</f>
        <v/>
      </c>
    </row>
    <row r="518" hidden="1" outlineLevel="2">
      <c r="A518" s="182" t="n"/>
      <c r="B518" s="183" t="n">
        <v>5</v>
      </c>
      <c r="C518" s="184" t="n"/>
      <c r="D518" s="185" t="inlineStr">
        <is>
          <t>post</t>
        </is>
      </c>
      <c r="E518" s="186">
        <f>K518</f>
        <v/>
      </c>
      <c r="F518" s="477">
        <f>CEILING(L518*$M$7,$M$8)</f>
        <v/>
      </c>
      <c r="G518" s="477">
        <f>ROUND(E518*F518,0)</f>
        <v/>
      </c>
      <c r="H518" s="194" t="n"/>
      <c r="I518" s="221" t="inlineStr">
        <is>
          <t>Akoestisch</t>
        </is>
      </c>
      <c r="J518" s="194" t="n"/>
      <c r="K518" s="478" t="n">
        <v>0</v>
      </c>
      <c r="L518" s="481" t="n">
        <v>0</v>
      </c>
      <c r="M518" s="480">
        <f>K518*L518</f>
        <v/>
      </c>
    </row>
    <row r="519" hidden="1" outlineLevel="2">
      <c r="A519" s="182" t="n"/>
      <c r="B519" s="183" t="n">
        <v>6</v>
      </c>
      <c r="C519" s="184" t="n"/>
      <c r="D519" s="185" t="inlineStr">
        <is>
          <t>post</t>
        </is>
      </c>
      <c r="E519" s="186">
        <f>K519</f>
        <v/>
      </c>
      <c r="F519" s="477">
        <f>CEILING(L519*$M$7,$M$8)</f>
        <v/>
      </c>
      <c r="G519" s="477">
        <f>ROUND(E519*F519,0)</f>
        <v/>
      </c>
      <c r="H519" s="194" t="n"/>
      <c r="I519" s="221" t="inlineStr">
        <is>
          <t>Akoestisch</t>
        </is>
      </c>
      <c r="J519" s="194" t="n"/>
      <c r="K519" s="478" t="n">
        <v>0</v>
      </c>
      <c r="L519" s="481" t="n">
        <v>0</v>
      </c>
      <c r="M519" s="480">
        <f>K519*L519</f>
        <v/>
      </c>
    </row>
    <row r="520" hidden="1" outlineLevel="2">
      <c r="A520" s="182" t="n"/>
      <c r="B520" s="183" t="n">
        <v>7</v>
      </c>
      <c r="C520" s="184" t="n"/>
      <c r="D520" s="185" t="inlineStr">
        <is>
          <t>post</t>
        </is>
      </c>
      <c r="E520" s="186">
        <f>K520</f>
        <v/>
      </c>
      <c r="F520" s="477">
        <f>CEILING(L520*$M$7,$M$8)</f>
        <v/>
      </c>
      <c r="G520" s="477">
        <f>ROUND(E520*F520,0)</f>
        <v/>
      </c>
      <c r="H520" s="194" t="n"/>
      <c r="I520" s="221" t="inlineStr">
        <is>
          <t>Akoestisch</t>
        </is>
      </c>
      <c r="J520" s="194" t="n"/>
      <c r="K520" s="478" t="n">
        <v>0</v>
      </c>
      <c r="L520" s="481" t="n">
        <v>0</v>
      </c>
      <c r="M520" s="480">
        <f>K520*L520</f>
        <v/>
      </c>
    </row>
    <row r="521" hidden="1" outlineLevel="2">
      <c r="A521" s="182" t="n"/>
      <c r="B521" s="183" t="n">
        <v>8</v>
      </c>
      <c r="C521" s="184" t="n"/>
      <c r="D521" s="185" t="inlineStr">
        <is>
          <t>post</t>
        </is>
      </c>
      <c r="E521" s="186">
        <f>K521</f>
        <v/>
      </c>
      <c r="F521" s="477">
        <f>CEILING(L521*$M$7,$M$8)</f>
        <v/>
      </c>
      <c r="G521" s="477">
        <f>ROUND(E521*F521,0)</f>
        <v/>
      </c>
      <c r="H521" s="194" t="n"/>
      <c r="I521" s="221" t="inlineStr">
        <is>
          <t>Akoestisch</t>
        </is>
      </c>
      <c r="J521" s="194" t="n"/>
      <c r="K521" s="478" t="n">
        <v>0</v>
      </c>
      <c r="L521" s="481" t="n">
        <v>0</v>
      </c>
      <c r="M521" s="480">
        <f>K521*L521</f>
        <v/>
      </c>
    </row>
    <row r="522" hidden="1" outlineLevel="2">
      <c r="A522" s="182" t="n"/>
      <c r="B522" s="183" t="n">
        <v>9</v>
      </c>
      <c r="C522" s="184" t="n"/>
      <c r="D522" s="185" t="inlineStr">
        <is>
          <t>post</t>
        </is>
      </c>
      <c r="E522" s="186">
        <f>K522</f>
        <v/>
      </c>
      <c r="F522" s="477">
        <f>CEILING(L522*$M$7,$M$8)</f>
        <v/>
      </c>
      <c r="G522" s="477">
        <f>ROUND(E522*F522,0)</f>
        <v/>
      </c>
      <c r="H522" s="194" t="n"/>
      <c r="I522" s="221" t="inlineStr">
        <is>
          <t>Akoestisch</t>
        </is>
      </c>
      <c r="J522" s="194" t="n"/>
      <c r="K522" s="478" t="n">
        <v>0</v>
      </c>
      <c r="L522" s="481" t="n">
        <v>0</v>
      </c>
      <c r="M522" s="480">
        <f>K522*L522</f>
        <v/>
      </c>
    </row>
    <row r="523" hidden="1" outlineLevel="2">
      <c r="A523" s="182" t="n"/>
      <c r="B523" s="183" t="n">
        <v>10</v>
      </c>
      <c r="C523" s="184" t="n"/>
      <c r="D523" s="185" t="inlineStr">
        <is>
          <t>post</t>
        </is>
      </c>
      <c r="E523" s="186">
        <f>K523</f>
        <v/>
      </c>
      <c r="F523" s="477">
        <f>CEILING(L523*$M$7,$M$8)</f>
        <v/>
      </c>
      <c r="G523" s="477">
        <f>ROUND(E523*F523,0)</f>
        <v/>
      </c>
      <c r="H523" s="194" t="n"/>
      <c r="I523" s="221" t="inlineStr">
        <is>
          <t>Akoestisch</t>
        </is>
      </c>
      <c r="J523" s="194" t="n"/>
      <c r="K523" s="478" t="n">
        <v>0</v>
      </c>
      <c r="L523" s="481" t="n">
        <v>0</v>
      </c>
      <c r="M523" s="480">
        <f>K523*L523</f>
        <v/>
      </c>
    </row>
    <row r="524" hidden="1" outlineLevel="2">
      <c r="A524" s="195" t="n"/>
      <c r="B524" s="219" t="n"/>
      <c r="C524" s="184" t="n"/>
      <c r="D524" s="185" t="n"/>
      <c r="E524" s="486" t="n"/>
      <c r="F524" s="477" t="n"/>
      <c r="G524" s="477" t="n"/>
      <c r="H524" s="188" t="n"/>
      <c r="I524" s="221" t="n"/>
      <c r="J524" s="188" t="n"/>
      <c r="K524" s="220" t="n"/>
      <c r="L524" s="481" t="n"/>
      <c r="M524" s="480" t="n"/>
    </row>
    <row r="525" hidden="1" outlineLevel="2">
      <c r="E525" s="222" t="n"/>
      <c r="F525" s="38" t="n"/>
      <c r="G525" s="482">
        <f>SUM(G514:G524)</f>
        <v/>
      </c>
      <c r="K525" s="483" t="n"/>
      <c r="M525" s="484">
        <f>SUM(M514:M524)</f>
        <v/>
      </c>
    </row>
    <row r="526" outlineLevel="1">
      <c r="E526" s="38" t="n"/>
      <c r="F526" s="38" t="n"/>
      <c r="G526" s="38" t="n"/>
      <c r="K526" s="483" t="n"/>
    </row>
    <row r="527" outlineLevel="2">
      <c r="A527" s="179" t="n">
        <v>450</v>
      </c>
      <c r="B527" s="279" t="inlineStr">
        <is>
          <t>BRANDING, SIGNAGE, DECORATION, STYLING &amp; ILLUMINATED SIGNS (Scope of tenant)</t>
        </is>
      </c>
      <c r="C527" s="280" t="n"/>
      <c r="D527" s="280" t="n"/>
      <c r="E527" s="280" t="n"/>
      <c r="F527" s="280" t="n"/>
      <c r="G527" s="280" t="n"/>
      <c r="H527" s="281" t="n"/>
      <c r="I527" s="282" t="n"/>
      <c r="J527" s="281" t="n"/>
      <c r="K527" s="485" t="n"/>
      <c r="L527" s="410" t="n"/>
      <c r="M527" s="199" t="n"/>
    </row>
    <row r="528" hidden="1" outlineLevel="2">
      <c r="A528" s="182" t="n"/>
      <c r="B528" s="215" t="n">
        <v>1</v>
      </c>
      <c r="C528" s="206" t="inlineStr">
        <is>
          <t>Branding. [Describe]</t>
        </is>
      </c>
      <c r="D528" s="185" t="inlineStr">
        <is>
          <t>post</t>
        </is>
      </c>
      <c r="E528" s="186">
        <f>K528</f>
        <v/>
      </c>
      <c r="F528" s="477">
        <f>CEILING(L528*$M$7,$M$8)</f>
        <v/>
      </c>
      <c r="G528" s="477">
        <f>ROUND(E528*F528,0)</f>
        <v/>
      </c>
      <c r="H528" s="188" t="n"/>
      <c r="I528" s="189" t="inlineStr">
        <is>
          <t>Branding</t>
        </is>
      </c>
      <c r="J528" s="188" t="n"/>
      <c r="K528" s="220" t="n">
        <v>0</v>
      </c>
      <c r="L528" s="479" t="n">
        <v>0</v>
      </c>
      <c r="M528" s="480">
        <f>K528*L528</f>
        <v/>
      </c>
    </row>
    <row r="529" hidden="1" outlineLevel="2">
      <c r="A529" s="182" t="n"/>
      <c r="B529" s="219" t="n">
        <v>2</v>
      </c>
      <c r="C529" s="184" t="inlineStr">
        <is>
          <t>Foil. [Describe]</t>
        </is>
      </c>
      <c r="D529" s="185" t="inlineStr">
        <is>
          <t>post</t>
        </is>
      </c>
      <c r="E529" s="186">
        <f>K529</f>
        <v/>
      </c>
      <c r="F529" s="477">
        <f>CEILING(L529*$M$7,$M$8)</f>
        <v/>
      </c>
      <c r="G529" s="477">
        <f>ROUND(E529*F529,0)</f>
        <v/>
      </c>
      <c r="H529" s="188" t="n"/>
      <c r="I529" s="189" t="inlineStr">
        <is>
          <t>Branding</t>
        </is>
      </c>
      <c r="J529" s="188" t="n"/>
      <c r="K529" s="478" t="n">
        <v>0</v>
      </c>
      <c r="L529" s="481" t="n">
        <v>0</v>
      </c>
      <c r="M529" s="480">
        <f>K529*L529</f>
        <v/>
      </c>
    </row>
    <row r="530" hidden="1" outlineLevel="2">
      <c r="A530" s="182" t="n"/>
      <c r="B530" s="219" t="n">
        <v>3</v>
      </c>
      <c r="C530" s="184" t="inlineStr">
        <is>
          <t>Visuals. [Describe]</t>
        </is>
      </c>
      <c r="D530" s="185" t="inlineStr">
        <is>
          <t>post</t>
        </is>
      </c>
      <c r="E530" s="186">
        <f>K530</f>
        <v/>
      </c>
      <c r="F530" s="477">
        <f>CEILING(L530*$M$7,$M$8)</f>
        <v/>
      </c>
      <c r="G530" s="477">
        <f>ROUND(E530*F530,0)</f>
        <v/>
      </c>
      <c r="H530" s="188" t="n"/>
      <c r="I530" s="189" t="inlineStr">
        <is>
          <t>Branding</t>
        </is>
      </c>
      <c r="J530" s="188" t="n"/>
      <c r="K530" s="220" t="n">
        <v>0</v>
      </c>
      <c r="L530" s="481" t="n">
        <v>0</v>
      </c>
      <c r="M530" s="480">
        <f>K530*L530</f>
        <v/>
      </c>
    </row>
    <row r="531" hidden="1" outlineLevel="2">
      <c r="A531" s="182" t="n"/>
      <c r="B531" s="215" t="n">
        <v>4</v>
      </c>
      <c r="C531" s="184" t="inlineStr">
        <is>
          <t>Internal signage. [Describe]</t>
        </is>
      </c>
      <c r="D531" s="185" t="inlineStr">
        <is>
          <t>post</t>
        </is>
      </c>
      <c r="E531" s="186">
        <f>K531</f>
        <v/>
      </c>
      <c r="F531" s="477">
        <f>CEILING(L531*$M$7,$M$8)</f>
        <v/>
      </c>
      <c r="G531" s="477">
        <f>ROUND(E531*F531,0)</f>
        <v/>
      </c>
      <c r="H531" s="188" t="n"/>
      <c r="I531" s="189" t="inlineStr">
        <is>
          <t>Branding</t>
        </is>
      </c>
      <c r="J531" s="188" t="n"/>
      <c r="K531" s="220" t="n">
        <v>0</v>
      </c>
      <c r="L531" s="481" t="n">
        <v>0</v>
      </c>
      <c r="M531" s="480">
        <f>K531*L531</f>
        <v/>
      </c>
    </row>
    <row r="532" hidden="1" outlineLevel="2">
      <c r="A532" s="182" t="n"/>
      <c r="B532" s="219" t="n">
        <v>5</v>
      </c>
      <c r="C532" s="184" t="inlineStr">
        <is>
          <t>Landscaping. [Describe]</t>
        </is>
      </c>
      <c r="D532" s="185" t="inlineStr">
        <is>
          <t>post</t>
        </is>
      </c>
      <c r="E532" s="186">
        <f>K532</f>
        <v/>
      </c>
      <c r="F532" s="477">
        <f>CEILING(L532*$M$7,$M$8)</f>
        <v/>
      </c>
      <c r="G532" s="477">
        <f>ROUND(E532*F532,0)</f>
        <v/>
      </c>
      <c r="H532" s="188" t="n"/>
      <c r="I532" s="189" t="inlineStr">
        <is>
          <t>Branding</t>
        </is>
      </c>
      <c r="J532" s="188" t="n"/>
      <c r="K532" s="220" t="n">
        <v>0</v>
      </c>
      <c r="L532" s="481" t="n">
        <v>0</v>
      </c>
      <c r="M532" s="480">
        <f>K532*L532</f>
        <v/>
      </c>
    </row>
    <row r="533" hidden="1" outlineLevel="2">
      <c r="A533" s="182" t="n"/>
      <c r="B533" s="219" t="n">
        <v>6</v>
      </c>
      <c r="C533" s="184" t="inlineStr">
        <is>
          <t>Decoration. [Describe]</t>
        </is>
      </c>
      <c r="D533" s="185" t="inlineStr">
        <is>
          <t>post</t>
        </is>
      </c>
      <c r="E533" s="186">
        <f>K533</f>
        <v/>
      </c>
      <c r="F533" s="477">
        <f>CEILING(L533*$M$7,$M$8)</f>
        <v/>
      </c>
      <c r="G533" s="477">
        <f>ROUND(E533*F533,0)</f>
        <v/>
      </c>
      <c r="H533" s="188" t="n"/>
      <c r="I533" s="189" t="inlineStr">
        <is>
          <t>Branding</t>
        </is>
      </c>
      <c r="J533" s="188" t="n"/>
      <c r="K533" s="220" t="n">
        <v>0</v>
      </c>
      <c r="L533" s="481" t="n">
        <v>0</v>
      </c>
      <c r="M533" s="480">
        <f>K533*L533</f>
        <v/>
      </c>
    </row>
    <row r="534" hidden="1" outlineLevel="2">
      <c r="A534" s="182" t="n"/>
      <c r="B534" s="215" t="n">
        <v>7</v>
      </c>
      <c r="C534" s="184" t="inlineStr">
        <is>
          <t>Styling. [Describe]</t>
        </is>
      </c>
      <c r="D534" s="185" t="inlineStr">
        <is>
          <t>post</t>
        </is>
      </c>
      <c r="E534" s="186">
        <f>K534</f>
        <v/>
      </c>
      <c r="F534" s="477">
        <f>CEILING(L534*$M$7,$M$8)</f>
        <v/>
      </c>
      <c r="G534" s="477">
        <f>ROUND(E534*F534,0)</f>
        <v/>
      </c>
      <c r="H534" s="188" t="n"/>
      <c r="I534" s="189" t="inlineStr">
        <is>
          <t>Branding</t>
        </is>
      </c>
      <c r="J534" s="188" t="n"/>
      <c r="K534" s="220" t="n">
        <v>0</v>
      </c>
      <c r="L534" s="481" t="n">
        <v>0</v>
      </c>
      <c r="M534" s="480">
        <f>K534*L534</f>
        <v/>
      </c>
    </row>
    <row r="535" hidden="1" outlineLevel="2">
      <c r="A535" s="182" t="n"/>
      <c r="B535" s="219" t="n">
        <v>8</v>
      </c>
      <c r="C535" s="184" t="inlineStr">
        <is>
          <t>External signage. [Describe]</t>
        </is>
      </c>
      <c r="D535" s="185" t="inlineStr">
        <is>
          <t>post</t>
        </is>
      </c>
      <c r="E535" s="186">
        <f>K535</f>
        <v/>
      </c>
      <c r="F535" s="477">
        <f>CEILING(L535*$M$7,$M$8)</f>
        <v/>
      </c>
      <c r="G535" s="477">
        <f>ROUND(E535*F535,0)</f>
        <v/>
      </c>
      <c r="H535" s="188" t="n"/>
      <c r="I535" s="189" t="inlineStr">
        <is>
          <t>Branding</t>
        </is>
      </c>
      <c r="J535" s="188" t="n"/>
      <c r="K535" s="220" t="n">
        <v>0</v>
      </c>
      <c r="L535" s="481" t="n">
        <v>0</v>
      </c>
      <c r="M535" s="480">
        <f>K535*L535</f>
        <v/>
      </c>
    </row>
    <row r="536" hidden="1" outlineLevel="2">
      <c r="A536" s="182" t="n"/>
      <c r="B536" s="215" t="n">
        <v>9</v>
      </c>
      <c r="C536" s="184" t="n"/>
      <c r="D536" s="185" t="inlineStr">
        <is>
          <t>post</t>
        </is>
      </c>
      <c r="E536" s="186">
        <f>K536</f>
        <v/>
      </c>
      <c r="F536" s="477">
        <f>CEILING(L536*$M$7,$M$8)</f>
        <v/>
      </c>
      <c r="G536" s="477">
        <f>ROUND(E536*F536,0)</f>
        <v/>
      </c>
      <c r="H536" s="194" t="n"/>
      <c r="I536" s="189" t="inlineStr">
        <is>
          <t>Branding</t>
        </is>
      </c>
      <c r="J536" s="194" t="n"/>
      <c r="K536" s="478" t="n">
        <v>0</v>
      </c>
      <c r="L536" s="481" t="n">
        <v>0</v>
      </c>
      <c r="M536" s="480">
        <f>K536*L536</f>
        <v/>
      </c>
    </row>
    <row r="537" hidden="1" outlineLevel="2">
      <c r="A537" s="182" t="n"/>
      <c r="B537" s="219" t="n">
        <v>10</v>
      </c>
      <c r="C537" s="184" t="n"/>
      <c r="D537" s="185" t="inlineStr">
        <is>
          <t>post</t>
        </is>
      </c>
      <c r="E537" s="186">
        <f>K537</f>
        <v/>
      </c>
      <c r="F537" s="477">
        <f>CEILING(L537*$M$7,$M$8)</f>
        <v/>
      </c>
      <c r="G537" s="477">
        <f>ROUND(E537*F537,0)</f>
        <v/>
      </c>
      <c r="H537" s="194" t="n"/>
      <c r="I537" s="189" t="inlineStr">
        <is>
          <t>Branding</t>
        </is>
      </c>
      <c r="J537" s="194" t="n"/>
      <c r="K537" s="478" t="n">
        <v>0</v>
      </c>
      <c r="L537" s="481" t="n">
        <v>0</v>
      </c>
      <c r="M537" s="480">
        <f>K537*L537</f>
        <v/>
      </c>
    </row>
    <row r="538" hidden="1" outlineLevel="2">
      <c r="A538" s="182" t="n"/>
      <c r="B538" s="215" t="n">
        <v>11</v>
      </c>
      <c r="C538" s="184" t="n"/>
      <c r="D538" s="185" t="inlineStr">
        <is>
          <t>post</t>
        </is>
      </c>
      <c r="E538" s="186">
        <f>K538</f>
        <v/>
      </c>
      <c r="F538" s="477">
        <f>CEILING(L538*$M$7,$M$8)</f>
        <v/>
      </c>
      <c r="G538" s="477">
        <f>ROUND(E538*F538,0)</f>
        <v/>
      </c>
      <c r="H538" s="194" t="n"/>
      <c r="I538" s="189" t="inlineStr">
        <is>
          <t>Branding</t>
        </is>
      </c>
      <c r="J538" s="194" t="n"/>
      <c r="K538" s="478" t="n">
        <v>0</v>
      </c>
      <c r="L538" s="481" t="n">
        <v>0</v>
      </c>
      <c r="M538" s="480">
        <f>K538*L538</f>
        <v/>
      </c>
    </row>
    <row r="539" hidden="1" outlineLevel="2">
      <c r="A539" s="182" t="n"/>
      <c r="B539" s="219" t="n">
        <v>12</v>
      </c>
      <c r="C539" s="184" t="n"/>
      <c r="D539" s="185" t="inlineStr">
        <is>
          <t>post</t>
        </is>
      </c>
      <c r="E539" s="186">
        <f>K539</f>
        <v/>
      </c>
      <c r="F539" s="477">
        <f>CEILING(L539*$M$7,$M$8)</f>
        <v/>
      </c>
      <c r="G539" s="477">
        <f>ROUND(E539*F539,0)</f>
        <v/>
      </c>
      <c r="H539" s="194" t="n"/>
      <c r="I539" s="189" t="inlineStr">
        <is>
          <t>Branding</t>
        </is>
      </c>
      <c r="J539" s="194" t="n"/>
      <c r="K539" s="478" t="n">
        <v>0</v>
      </c>
      <c r="L539" s="481" t="n">
        <v>0</v>
      </c>
      <c r="M539" s="480">
        <f>K539*L539</f>
        <v/>
      </c>
    </row>
    <row r="540" hidden="1" outlineLevel="2">
      <c r="A540" s="182" t="n"/>
      <c r="B540" s="215" t="n">
        <v>13</v>
      </c>
      <c r="C540" s="184" t="n"/>
      <c r="D540" s="185" t="inlineStr">
        <is>
          <t>post</t>
        </is>
      </c>
      <c r="E540" s="186">
        <f>K540</f>
        <v/>
      </c>
      <c r="F540" s="477">
        <f>CEILING(L540*$M$7,$M$8)</f>
        <v/>
      </c>
      <c r="G540" s="477">
        <f>ROUND(E540*F540,0)</f>
        <v/>
      </c>
      <c r="H540" s="194" t="n"/>
      <c r="I540" s="189" t="inlineStr">
        <is>
          <t>Branding</t>
        </is>
      </c>
      <c r="J540" s="194" t="n"/>
      <c r="K540" s="478" t="n">
        <v>0</v>
      </c>
      <c r="L540" s="481" t="n">
        <v>0</v>
      </c>
      <c r="M540" s="480">
        <f>K540*L540</f>
        <v/>
      </c>
    </row>
    <row r="541" hidden="1" outlineLevel="2">
      <c r="A541" s="182" t="n"/>
      <c r="B541" s="219" t="n">
        <v>14</v>
      </c>
      <c r="C541" s="184" t="n"/>
      <c r="D541" s="185" t="inlineStr">
        <is>
          <t>post</t>
        </is>
      </c>
      <c r="E541" s="186">
        <f>K541</f>
        <v/>
      </c>
      <c r="F541" s="477">
        <f>CEILING(L541*$M$7,$M$8)</f>
        <v/>
      </c>
      <c r="G541" s="477">
        <f>ROUND(E541*F541,0)</f>
        <v/>
      </c>
      <c r="H541" s="194" t="n"/>
      <c r="I541" s="189" t="inlineStr">
        <is>
          <t>Branding</t>
        </is>
      </c>
      <c r="J541" s="194" t="n"/>
      <c r="K541" s="478" t="n">
        <v>0</v>
      </c>
      <c r="L541" s="481" t="n">
        <v>0</v>
      </c>
      <c r="M541" s="480">
        <f>K541*L541</f>
        <v/>
      </c>
    </row>
    <row r="542" hidden="1" outlineLevel="2">
      <c r="A542" s="195" t="n"/>
      <c r="B542" s="219" t="n"/>
      <c r="C542" s="184" t="n"/>
      <c r="D542" s="185" t="n"/>
      <c r="E542" s="186" t="n"/>
      <c r="F542" s="477" t="n"/>
      <c r="G542" s="477" t="n"/>
      <c r="H542" s="188" t="n"/>
      <c r="I542" s="189" t="n"/>
      <c r="J542" s="188" t="n"/>
      <c r="K542" s="220" t="n"/>
      <c r="L542" s="481" t="n"/>
      <c r="M542" s="480" t="n"/>
    </row>
    <row r="543" hidden="1" outlineLevel="2">
      <c r="E543" s="38" t="n"/>
      <c r="F543" s="38" t="n"/>
      <c r="G543" s="482">
        <f>SUM(G528:G542)</f>
        <v/>
      </c>
      <c r="K543" s="483" t="n"/>
      <c r="M543" s="484">
        <f>SUM(M528:M542)</f>
        <v/>
      </c>
    </row>
    <row r="544" outlineLevel="1">
      <c r="E544" s="38" t="n"/>
      <c r="F544" s="38" t="n"/>
      <c r="G544" s="38" t="n"/>
      <c r="K544" s="483" t="n"/>
    </row>
    <row r="545">
      <c r="A545" s="176" t="n">
        <v>500</v>
      </c>
      <c r="B545" s="101" t="inlineStr">
        <is>
          <t>MISCELLANEOUS</t>
        </is>
      </c>
      <c r="C545" s="102" t="n"/>
      <c r="D545" s="102" t="n"/>
      <c r="E545" s="102" t="n"/>
      <c r="F545" s="102" t="n"/>
      <c r="G545" s="102" t="n"/>
      <c r="H545" s="277" t="n"/>
      <c r="I545" s="278" t="n"/>
      <c r="J545" s="277" t="n"/>
      <c r="K545" s="494" t="n"/>
      <c r="L545" s="177" t="n"/>
      <c r="M545" s="178" t="n"/>
    </row>
    <row r="546" ht="4.35" customHeight="1">
      <c r="E546" s="38" t="n"/>
      <c r="F546" s="38" t="n"/>
      <c r="G546" s="38" t="n"/>
      <c r="K546" s="483" t="n"/>
    </row>
    <row r="547" outlineLevel="2">
      <c r="A547" s="179" t="n">
        <v>510</v>
      </c>
      <c r="B547" s="279" t="inlineStr">
        <is>
          <t>SPECIAL FEATURES (Other)</t>
        </is>
      </c>
      <c r="C547" s="280" t="n"/>
      <c r="D547" s="280" t="n"/>
      <c r="E547" s="280" t="n"/>
      <c r="F547" s="280" t="n"/>
      <c r="G547" s="280" t="n"/>
      <c r="H547" s="281" t="n"/>
      <c r="I547" s="282" t="n"/>
      <c r="J547" s="281" t="n"/>
      <c r="K547" s="485" t="n"/>
      <c r="L547" s="410" t="n"/>
      <c r="M547" s="199" t="n"/>
    </row>
    <row r="548" hidden="1" outlineLevel="2">
      <c r="A548" s="182" t="n"/>
      <c r="B548" s="215" t="n">
        <v>1</v>
      </c>
      <c r="C548" s="206" t="inlineStr">
        <is>
          <t>Work carried out outside normal working hours. [Describe]</t>
        </is>
      </c>
      <c r="D548" s="185" t="inlineStr">
        <is>
          <t>post</t>
        </is>
      </c>
      <c r="E548" s="186">
        <f>K548</f>
        <v/>
      </c>
      <c r="F548" s="477">
        <f>CEILING(L548*$M$7,$M$8)</f>
        <v/>
      </c>
      <c r="G548" s="477">
        <f>ROUND(E548*F548,0)</f>
        <v/>
      </c>
      <c r="H548" s="188" t="n"/>
      <c r="I548" s="221" t="inlineStr">
        <is>
          <t>Divers</t>
        </is>
      </c>
      <c r="J548" s="188" t="n"/>
      <c r="K548" s="220" t="n">
        <v>0</v>
      </c>
      <c r="L548" s="479" t="n">
        <v>0</v>
      </c>
      <c r="M548" s="480">
        <f>K548*L548</f>
        <v/>
      </c>
    </row>
    <row r="549" hidden="1" outlineLevel="2">
      <c r="A549" s="182" t="n"/>
      <c r="B549" s="219" t="n">
        <v>2</v>
      </c>
      <c r="C549" s="184" t="inlineStr">
        <is>
          <t>Travel and accommodation expenses.</t>
        </is>
      </c>
      <c r="D549" s="185" t="inlineStr">
        <is>
          <t>post</t>
        </is>
      </c>
      <c r="E549" s="186">
        <f>K549</f>
        <v/>
      </c>
      <c r="F549" s="477">
        <f>CEILING(L549*$M$7,$M$8)</f>
        <v/>
      </c>
      <c r="G549" s="477">
        <f>ROUND(E549*F549,0)</f>
        <v/>
      </c>
      <c r="H549" s="188" t="n"/>
      <c r="I549" s="221" t="inlineStr">
        <is>
          <t>Divers</t>
        </is>
      </c>
      <c r="J549" s="188" t="n"/>
      <c r="K549" s="220" t="n">
        <v>0</v>
      </c>
      <c r="L549" s="481" t="n">
        <v>0</v>
      </c>
      <c r="M549" s="480">
        <f>K549*L549</f>
        <v/>
      </c>
    </row>
    <row r="550" hidden="1" outlineLevel="2">
      <c r="A550" s="182" t="n"/>
      <c r="B550" s="219" t="n">
        <v>3</v>
      </c>
      <c r="C550" s="184" t="inlineStr">
        <is>
          <t>Parking costs.</t>
        </is>
      </c>
      <c r="D550" s="185" t="inlineStr">
        <is>
          <t>post</t>
        </is>
      </c>
      <c r="E550" s="186">
        <f>K550</f>
        <v/>
      </c>
      <c r="F550" s="477">
        <f>CEILING(L550*$M$7,$M$8)</f>
        <v/>
      </c>
      <c r="G550" s="477">
        <f>ROUND(E550*F550,0)</f>
        <v/>
      </c>
      <c r="H550" s="188" t="n"/>
      <c r="I550" s="221" t="inlineStr">
        <is>
          <t>Divers</t>
        </is>
      </c>
      <c r="J550" s="188" t="n"/>
      <c r="K550" s="220" t="n">
        <v>0</v>
      </c>
      <c r="L550" s="481" t="n">
        <v>0</v>
      </c>
      <c r="M550" s="480">
        <f>K550*L550</f>
        <v/>
      </c>
    </row>
    <row r="551" outlineLevel="2">
      <c r="A551" s="182" t="n"/>
      <c r="B551" s="219" t="n">
        <v>1</v>
      </c>
      <c r="C551" s="184" t="inlineStr">
        <is>
          <t>Transport costs.</t>
        </is>
      </c>
      <c r="D551" s="185" t="inlineStr">
        <is>
          <t>stelpost</t>
        </is>
      </c>
      <c r="E551" s="186">
        <f>K551</f>
        <v/>
      </c>
      <c r="F551" s="477">
        <f>CEILING(L551*$M$7,$M$8)</f>
        <v/>
      </c>
      <c r="G551" s="477">
        <f>ROUND(E551*F551,0)</f>
        <v/>
      </c>
      <c r="H551" s="188" t="n"/>
      <c r="I551" s="221" t="inlineStr">
        <is>
          <t>Divers</t>
        </is>
      </c>
      <c r="J551" s="188" t="n"/>
      <c r="K551" s="478" t="n">
        <v>0</v>
      </c>
      <c r="L551" s="481" t="n">
        <v>5</v>
      </c>
      <c r="M551" s="480">
        <f>K551*L551</f>
        <v/>
      </c>
    </row>
    <row r="552" hidden="1" outlineLevel="2">
      <c r="A552" s="182" t="n"/>
      <c r="B552" s="183" t="n">
        <v>5</v>
      </c>
      <c r="C552" s="184" t="n"/>
      <c r="D552" s="185" t="inlineStr">
        <is>
          <t>post</t>
        </is>
      </c>
      <c r="E552" s="186">
        <f>K552</f>
        <v/>
      </c>
      <c r="F552" s="477">
        <f>CEILING(L552*$M$7,$M$8)</f>
        <v/>
      </c>
      <c r="G552" s="477">
        <f>ROUND(E552*F552,0)</f>
        <v/>
      </c>
      <c r="H552" s="194" t="n"/>
      <c r="I552" s="221" t="inlineStr">
        <is>
          <t>Divers</t>
        </is>
      </c>
      <c r="J552" s="194" t="n"/>
      <c r="K552" s="478" t="n">
        <v>0</v>
      </c>
      <c r="L552" s="481" t="n">
        <v>0</v>
      </c>
      <c r="M552" s="480">
        <f>K552*L552</f>
        <v/>
      </c>
    </row>
    <row r="553" hidden="1" outlineLevel="2">
      <c r="A553" s="182" t="n"/>
      <c r="B553" s="183" t="n">
        <v>6</v>
      </c>
      <c r="C553" s="184" t="n"/>
      <c r="D553" s="185" t="inlineStr">
        <is>
          <t>post</t>
        </is>
      </c>
      <c r="E553" s="186">
        <f>K553</f>
        <v/>
      </c>
      <c r="F553" s="477">
        <f>CEILING(L553*$M$7,$M$8)</f>
        <v/>
      </c>
      <c r="G553" s="477">
        <f>ROUND(E553*F553,0)</f>
        <v/>
      </c>
      <c r="H553" s="194" t="n"/>
      <c r="I553" s="221" t="inlineStr">
        <is>
          <t>Divers</t>
        </is>
      </c>
      <c r="J553" s="194" t="n"/>
      <c r="K553" s="478" t="n">
        <v>0</v>
      </c>
      <c r="L553" s="481" t="n">
        <v>0</v>
      </c>
      <c r="M553" s="480">
        <f>K553*L553</f>
        <v/>
      </c>
    </row>
    <row r="554" hidden="1" outlineLevel="2">
      <c r="A554" s="182" t="n"/>
      <c r="B554" s="183" t="n">
        <v>7</v>
      </c>
      <c r="C554" s="184" t="n"/>
      <c r="D554" s="185" t="inlineStr">
        <is>
          <t>post</t>
        </is>
      </c>
      <c r="E554" s="186">
        <f>K554</f>
        <v/>
      </c>
      <c r="F554" s="477">
        <f>CEILING(L554*$M$7,$M$8)</f>
        <v/>
      </c>
      <c r="G554" s="477">
        <f>ROUND(E554*F554,0)</f>
        <v/>
      </c>
      <c r="H554" s="194" t="n"/>
      <c r="I554" s="221" t="inlineStr">
        <is>
          <t>Divers</t>
        </is>
      </c>
      <c r="J554" s="194" t="n"/>
      <c r="K554" s="478" t="n">
        <v>0</v>
      </c>
      <c r="L554" s="481" t="n">
        <v>0</v>
      </c>
      <c r="M554" s="480">
        <f>K554*L554</f>
        <v/>
      </c>
    </row>
    <row r="555" hidden="1" outlineLevel="2">
      <c r="A555" s="182" t="n"/>
      <c r="B555" s="183" t="n">
        <v>8</v>
      </c>
      <c r="C555" s="184" t="n"/>
      <c r="D555" s="185" t="inlineStr">
        <is>
          <t>post</t>
        </is>
      </c>
      <c r="E555" s="186">
        <f>K555</f>
        <v/>
      </c>
      <c r="F555" s="477">
        <f>CEILING(L555*$M$7,$M$8)</f>
        <v/>
      </c>
      <c r="G555" s="477">
        <f>ROUND(E555*F555,0)</f>
        <v/>
      </c>
      <c r="H555" s="194" t="n"/>
      <c r="I555" s="221" t="inlineStr">
        <is>
          <t>Divers</t>
        </is>
      </c>
      <c r="J555" s="194" t="n"/>
      <c r="K555" s="478" t="n">
        <v>0</v>
      </c>
      <c r="L555" s="481" t="n">
        <v>0</v>
      </c>
      <c r="M555" s="480">
        <f>K555*L555</f>
        <v/>
      </c>
    </row>
    <row r="556" hidden="1" outlineLevel="2">
      <c r="A556" s="182" t="n"/>
      <c r="B556" s="183" t="n">
        <v>9</v>
      </c>
      <c r="C556" s="184" t="n"/>
      <c r="D556" s="185" t="inlineStr">
        <is>
          <t>post</t>
        </is>
      </c>
      <c r="E556" s="186">
        <f>K556</f>
        <v/>
      </c>
      <c r="F556" s="477">
        <f>CEILING(L556*$M$7,$M$8)</f>
        <v/>
      </c>
      <c r="G556" s="477">
        <f>ROUND(E556*F556,0)</f>
        <v/>
      </c>
      <c r="H556" s="194" t="n"/>
      <c r="I556" s="221" t="inlineStr">
        <is>
          <t>Divers</t>
        </is>
      </c>
      <c r="J556" s="194" t="n"/>
      <c r="K556" s="478" t="n">
        <v>0</v>
      </c>
      <c r="L556" s="481" t="n">
        <v>0</v>
      </c>
      <c r="M556" s="480">
        <f>K556*L556</f>
        <v/>
      </c>
    </row>
    <row r="557" hidden="1" outlineLevel="2">
      <c r="A557" s="182" t="n"/>
      <c r="B557" s="183" t="n">
        <v>10</v>
      </c>
      <c r="C557" s="184" t="n"/>
      <c r="D557" s="185" t="inlineStr">
        <is>
          <t>post</t>
        </is>
      </c>
      <c r="E557" s="186">
        <f>K557</f>
        <v/>
      </c>
      <c r="F557" s="477">
        <f>CEILING(L557*$M$7,$M$8)</f>
        <v/>
      </c>
      <c r="G557" s="477">
        <f>ROUND(E557*F557,0)</f>
        <v/>
      </c>
      <c r="H557" s="194" t="n"/>
      <c r="I557" s="221" t="inlineStr">
        <is>
          <t>Divers</t>
        </is>
      </c>
      <c r="J557" s="194" t="n"/>
      <c r="K557" s="478" t="n">
        <v>0</v>
      </c>
      <c r="L557" s="481" t="n">
        <v>0</v>
      </c>
      <c r="M557" s="480">
        <f>K557*L557</f>
        <v/>
      </c>
    </row>
    <row r="558" hidden="1" outlineLevel="2">
      <c r="A558" s="195" t="n"/>
      <c r="B558" s="219" t="n"/>
      <c r="C558" s="184" t="n"/>
      <c r="D558" s="185" t="n"/>
      <c r="E558" s="186" t="n"/>
      <c r="F558" s="477" t="n"/>
      <c r="G558" s="477" t="n"/>
      <c r="H558" s="188" t="n"/>
      <c r="I558" s="221" t="n"/>
      <c r="J558" s="188" t="n"/>
      <c r="K558" s="220" t="n"/>
      <c r="L558" s="481" t="n"/>
      <c r="M558" s="480" t="n"/>
    </row>
    <row r="559" outlineLevel="2">
      <c r="A559" s="223" t="n"/>
      <c r="B559" s="224" t="n"/>
      <c r="C559" s="225" t="n"/>
      <c r="D559" s="226" t="n"/>
      <c r="E559" s="227" t="n"/>
      <c r="F559" s="441" t="n"/>
      <c r="G559" s="482">
        <f>SUM(G548:G558)</f>
        <v/>
      </c>
      <c r="H559" s="228" t="n"/>
      <c r="I559" s="224" t="n"/>
      <c r="J559" s="228" t="n"/>
      <c r="K559" s="495" t="n"/>
      <c r="L559" s="496" t="n"/>
      <c r="M559" s="484">
        <f>SUM(M548:M558)</f>
        <v/>
      </c>
    </row>
    <row r="560" hidden="1" outlineLevel="1">
      <c r="A560" s="223" t="n"/>
      <c r="B560" s="224" t="n"/>
      <c r="C560" s="225" t="n"/>
      <c r="D560" s="226" t="n"/>
      <c r="E560" s="65" t="n"/>
      <c r="F560" s="441" t="n"/>
      <c r="G560" s="441" t="n"/>
      <c r="H560" s="228" t="n"/>
      <c r="I560" s="224" t="n"/>
      <c r="J560" s="228" t="n"/>
      <c r="K560" s="495" t="n"/>
      <c r="L560" s="496" t="n"/>
      <c r="M560" s="496" t="n"/>
    </row>
    <row r="561" hidden="1" outlineLevel="2">
      <c r="A561" s="179" t="n">
        <v>520</v>
      </c>
      <c r="B561" s="409" t="inlineStr">
        <is>
          <t>VERHUIZING (Uren projectbegeleiding)</t>
        </is>
      </c>
      <c r="C561" s="410" t="n"/>
      <c r="D561" s="410" t="n"/>
      <c r="E561" s="49" t="n"/>
      <c r="F561" s="49" t="n"/>
      <c r="G561" s="49" t="n"/>
      <c r="H561" s="199" t="n"/>
      <c r="I561" s="200" t="n"/>
      <c r="J561" s="199" t="n"/>
      <c r="K561" s="485" t="n"/>
      <c r="L561" s="410" t="n"/>
      <c r="M561" s="199" t="n"/>
    </row>
    <row r="562" hidden="1" outlineLevel="2">
      <c r="A562" s="182" t="n"/>
      <c r="B562" s="215" t="n">
        <v>1</v>
      </c>
      <c r="C562" s="206" t="inlineStr">
        <is>
          <t>Verhuizing. [Omschrijven]</t>
        </is>
      </c>
      <c r="D562" s="185" t="inlineStr">
        <is>
          <t>post</t>
        </is>
      </c>
      <c r="E562" s="186">
        <f>K562</f>
        <v/>
      </c>
      <c r="F562" s="477">
        <f>CEILING(L562*$M$7,$M$8)</f>
        <v/>
      </c>
      <c r="G562" s="477">
        <f>ROUND(E562*F562,0)</f>
        <v/>
      </c>
      <c r="H562" s="188" t="n"/>
      <c r="I562" s="221" t="inlineStr">
        <is>
          <t>Divers</t>
        </is>
      </c>
      <c r="J562" s="188" t="n"/>
      <c r="K562" s="220" t="n">
        <v>0</v>
      </c>
      <c r="L562" s="479" t="n">
        <v>0</v>
      </c>
      <c r="M562" s="480">
        <f>K562*L562</f>
        <v/>
      </c>
    </row>
    <row r="563" hidden="1" outlineLevel="2">
      <c r="A563" s="182" t="n"/>
      <c r="B563" s="219" t="n">
        <v>2</v>
      </c>
      <c r="C563" s="184" t="inlineStr">
        <is>
          <t>Verhuizing inhoud werkplekken. [Omschrijven]</t>
        </is>
      </c>
      <c r="D563" s="185" t="inlineStr">
        <is>
          <t>post</t>
        </is>
      </c>
      <c r="E563" s="186">
        <f>K563</f>
        <v/>
      </c>
      <c r="F563" s="477">
        <f>CEILING(L563*$M$7,$M$8)</f>
        <v/>
      </c>
      <c r="G563" s="477">
        <f>ROUND(E563*F563,0)</f>
        <v/>
      </c>
      <c r="H563" s="188" t="n"/>
      <c r="I563" s="221" t="inlineStr">
        <is>
          <t>Divers</t>
        </is>
      </c>
      <c r="J563" s="188" t="n"/>
      <c r="K563" s="478" t="n">
        <v>0</v>
      </c>
      <c r="L563" s="481" t="n">
        <v>0</v>
      </c>
      <c r="M563" s="480">
        <f>K563*L563</f>
        <v/>
      </c>
    </row>
    <row r="564" hidden="1" outlineLevel="2">
      <c r="A564" s="182" t="n"/>
      <c r="B564" s="219" t="n">
        <v>3</v>
      </c>
      <c r="C564" s="184" t="inlineStr">
        <is>
          <t>Verhuizing IT ruimte. [Omschrijven]</t>
        </is>
      </c>
      <c r="D564" s="185" t="inlineStr">
        <is>
          <t>post</t>
        </is>
      </c>
      <c r="E564" s="186">
        <f>K564</f>
        <v/>
      </c>
      <c r="F564" s="477">
        <f>CEILING(L564*$M$7,$M$8)</f>
        <v/>
      </c>
      <c r="G564" s="477">
        <f>ROUND(E564*F564,0)</f>
        <v/>
      </c>
      <c r="H564" s="188" t="n"/>
      <c r="I564" s="221" t="inlineStr">
        <is>
          <t>Divers</t>
        </is>
      </c>
      <c r="J564" s="188" t="n"/>
      <c r="K564" s="220" t="n">
        <v>0</v>
      </c>
      <c r="L564" s="481" t="n">
        <v>0</v>
      </c>
      <c r="M564" s="480">
        <f>K564*L564</f>
        <v/>
      </c>
    </row>
    <row r="565" hidden="1" outlineLevel="2">
      <c r="A565" s="182" t="n"/>
      <c r="B565" s="215" t="n">
        <v>4</v>
      </c>
      <c r="C565" s="184" t="inlineStr">
        <is>
          <t>Verhuizing computers. [Omschrijven]</t>
        </is>
      </c>
      <c r="D565" s="185" t="inlineStr">
        <is>
          <t>post</t>
        </is>
      </c>
      <c r="E565" s="186">
        <f>K565</f>
        <v/>
      </c>
      <c r="F565" s="477">
        <f>CEILING(L565*$M$7,$M$8)</f>
        <v/>
      </c>
      <c r="G565" s="477">
        <f>ROUND(E565*F565,0)</f>
        <v/>
      </c>
      <c r="H565" s="188" t="n"/>
      <c r="I565" s="221" t="inlineStr">
        <is>
          <t>Divers</t>
        </is>
      </c>
      <c r="J565" s="188" t="n"/>
      <c r="K565" s="220" t="n">
        <v>0</v>
      </c>
      <c r="L565" s="481" t="n">
        <v>0</v>
      </c>
      <c r="M565" s="480">
        <f>K565*L565</f>
        <v/>
      </c>
    </row>
    <row r="566" hidden="1" outlineLevel="2">
      <c r="A566" s="182" t="n"/>
      <c r="B566" s="219" t="n">
        <v>5</v>
      </c>
      <c r="C566" s="184" t="inlineStr">
        <is>
          <t>Verhuizing kunst of andere speciale items. [Omschrijven]</t>
        </is>
      </c>
      <c r="D566" s="185" t="inlineStr">
        <is>
          <t>post</t>
        </is>
      </c>
      <c r="E566" s="186">
        <f>K566</f>
        <v/>
      </c>
      <c r="F566" s="477">
        <f>CEILING(L566*$M$7,$M$8)</f>
        <v/>
      </c>
      <c r="G566" s="477">
        <f>ROUND(E566*F566,0)</f>
        <v/>
      </c>
      <c r="H566" s="188" t="n"/>
      <c r="I566" s="221" t="inlineStr">
        <is>
          <t>Divers</t>
        </is>
      </c>
      <c r="J566" s="188" t="n"/>
      <c r="K566" s="220" t="n">
        <v>0</v>
      </c>
      <c r="L566" s="481" t="n">
        <v>0</v>
      </c>
      <c r="M566" s="480">
        <f>K566*L566</f>
        <v/>
      </c>
    </row>
    <row r="567" hidden="1" outlineLevel="2">
      <c r="A567" s="182" t="n"/>
      <c r="B567" s="219" t="n">
        <v>6</v>
      </c>
      <c r="C567" s="184" t="inlineStr">
        <is>
          <t>Hand- en spandiensten (incl. handyman). [Omschrijven en veelal stelposten opnemen]</t>
        </is>
      </c>
      <c r="D567" s="185" t="inlineStr">
        <is>
          <t>post</t>
        </is>
      </c>
      <c r="E567" s="186">
        <f>K567</f>
        <v/>
      </c>
      <c r="F567" s="477">
        <f>CEILING(L567*$M$7,$M$8)</f>
        <v/>
      </c>
      <c r="G567" s="477">
        <f>ROUND(E567*F567,0)</f>
        <v/>
      </c>
      <c r="H567" s="188" t="n"/>
      <c r="I567" s="221" t="inlineStr">
        <is>
          <t>Divers</t>
        </is>
      </c>
      <c r="J567" s="188" t="n"/>
      <c r="K567" s="220" t="n">
        <v>0</v>
      </c>
      <c r="L567" s="481" t="n">
        <v>0</v>
      </c>
      <c r="M567" s="480">
        <f>K567*L567</f>
        <v/>
      </c>
    </row>
    <row r="568" hidden="1" outlineLevel="2">
      <c r="A568" s="195" t="n"/>
      <c r="B568" s="219" t="n"/>
      <c r="C568" s="184" t="n"/>
      <c r="D568" s="185" t="n"/>
      <c r="E568" s="186" t="n"/>
      <c r="F568" s="477" t="n"/>
      <c r="G568" s="477" t="n"/>
      <c r="H568" s="188" t="n"/>
      <c r="I568" s="221" t="n"/>
      <c r="J568" s="188" t="n"/>
      <c r="K568" s="220" t="n"/>
      <c r="L568" s="481" t="n"/>
      <c r="M568" s="480" t="n"/>
    </row>
    <row r="569" hidden="1" outlineLevel="2">
      <c r="E569" s="38" t="n"/>
      <c r="F569" s="38" t="n"/>
      <c r="G569" s="482">
        <f>SUM(G562:G568)</f>
        <v/>
      </c>
      <c r="K569" s="483" t="n"/>
      <c r="M569" s="484">
        <f>SUM(M562:M568)</f>
        <v/>
      </c>
    </row>
    <row r="570" outlineLevel="1" collapsed="1">
      <c r="E570" s="38" t="n"/>
      <c r="F570" s="38" t="n"/>
      <c r="G570" s="38" t="n"/>
      <c r="K570" s="483" t="n"/>
    </row>
    <row r="571" outlineLevel="2">
      <c r="A571" s="179" t="n">
        <v>530</v>
      </c>
      <c r="B571" s="279" t="inlineStr">
        <is>
          <t>SPECIAL FEATURES (Other) (Out of scope)</t>
        </is>
      </c>
      <c r="C571" s="280" t="n"/>
      <c r="D571" s="280" t="n"/>
      <c r="E571" s="280" t="n"/>
      <c r="F571" s="280" t="n"/>
      <c r="G571" s="280" t="n"/>
      <c r="H571" s="281" t="n"/>
      <c r="I571" s="282" t="n"/>
      <c r="J571" s="199" t="n"/>
      <c r="K571" s="485" t="n"/>
      <c r="L571" s="410" t="n"/>
      <c r="M571" s="199" t="n"/>
    </row>
    <row r="572" hidden="1" outlineLevel="2">
      <c r="A572" s="182" t="n"/>
      <c r="B572" s="215" t="n">
        <v>1</v>
      </c>
      <c r="C572" s="206" t="inlineStr">
        <is>
          <t xml:space="preserve">Digitisation and drafting. </t>
        </is>
      </c>
      <c r="D572" s="185" t="inlineStr">
        <is>
          <t>post</t>
        </is>
      </c>
      <c r="E572" s="186">
        <f>K572</f>
        <v/>
      </c>
      <c r="F572" s="477">
        <f>CEILING(L572*$M$7,$M$8)</f>
        <v/>
      </c>
      <c r="G572" s="477">
        <f>ROUND(E572*F572,0)</f>
        <v/>
      </c>
      <c r="H572" s="188" t="n"/>
      <c r="I572" s="221" t="inlineStr">
        <is>
          <t>Divers</t>
        </is>
      </c>
      <c r="J572" s="188" t="n"/>
      <c r="K572" s="220" t="n">
        <v>0</v>
      </c>
      <c r="L572" s="479" t="n">
        <v>0</v>
      </c>
      <c r="M572" s="480">
        <f>K572*L572</f>
        <v/>
      </c>
    </row>
    <row r="573" hidden="1" outlineLevel="2">
      <c r="A573" s="182" t="n"/>
      <c r="B573" s="219" t="n">
        <v>2</v>
      </c>
      <c r="C573" s="184" t="inlineStr">
        <is>
          <t>Working drawings.</t>
        </is>
      </c>
      <c r="D573" s="185" t="inlineStr">
        <is>
          <t>post</t>
        </is>
      </c>
      <c r="E573" s="186">
        <f>K573</f>
        <v/>
      </c>
      <c r="F573" s="477">
        <f>CEILING(L573*$M$7,$M$8)</f>
        <v/>
      </c>
      <c r="G573" s="477">
        <f>ROUND(E573*F573,0)</f>
        <v/>
      </c>
      <c r="H573" s="188" t="n"/>
      <c r="I573" s="221" t="inlineStr">
        <is>
          <t>Divers</t>
        </is>
      </c>
      <c r="J573" s="188" t="n"/>
      <c r="K573" s="220" t="n">
        <v>0</v>
      </c>
      <c r="L573" s="481" t="n">
        <v>0</v>
      </c>
      <c r="M573" s="480">
        <f>K573*L573</f>
        <v/>
      </c>
    </row>
    <row r="574" hidden="1" outlineLevel="2">
      <c r="A574" s="182" t="n"/>
      <c r="B574" s="219" t="n">
        <v>3</v>
      </c>
      <c r="C574" s="184" t="inlineStr">
        <is>
          <t>Warranty and overhaul documents.</t>
        </is>
      </c>
      <c r="D574" s="185" t="inlineStr">
        <is>
          <t>post</t>
        </is>
      </c>
      <c r="E574" s="186">
        <f>K574</f>
        <v/>
      </c>
      <c r="F574" s="477">
        <f>CEILING(L574*$M$7,$M$8)</f>
        <v/>
      </c>
      <c r="G574" s="477">
        <f>ROUND(E574*F574,0)</f>
        <v/>
      </c>
      <c r="H574" s="188" t="n"/>
      <c r="I574" s="221" t="inlineStr">
        <is>
          <t>Divers</t>
        </is>
      </c>
      <c r="J574" s="188" t="n"/>
      <c r="K574" s="478" t="n">
        <v>0</v>
      </c>
      <c r="L574" s="481" t="n">
        <v>0</v>
      </c>
      <c r="M574" s="480">
        <f>K574*L574</f>
        <v/>
      </c>
    </row>
    <row r="575" hidden="1" outlineLevel="2">
      <c r="A575" s="195" t="n"/>
      <c r="B575" s="219" t="n"/>
      <c r="C575" s="184" t="n"/>
      <c r="D575" s="185" t="n"/>
      <c r="E575" s="186" t="n"/>
      <c r="F575" s="477" t="n"/>
      <c r="G575" s="477" t="n"/>
      <c r="H575" s="188" t="n"/>
      <c r="I575" s="221" t="n"/>
      <c r="J575" s="188" t="n"/>
      <c r="K575" s="220" t="n"/>
      <c r="L575" s="481" t="n"/>
      <c r="M575" s="480" t="n"/>
    </row>
    <row r="576" hidden="1" outlineLevel="2">
      <c r="E576" s="38" t="n"/>
      <c r="F576" s="38" t="n"/>
      <c r="G576" s="482">
        <f>SUM(G572:G575)</f>
        <v/>
      </c>
      <c r="K576" s="483" t="n"/>
      <c r="M576" s="484">
        <f>SUM(M572:M575)</f>
        <v/>
      </c>
    </row>
    <row r="577" outlineLevel="1">
      <c r="E577" s="38" t="n"/>
      <c r="F577" s="38" t="n"/>
      <c r="G577" s="38" t="n"/>
      <c r="K577" s="483" t="n"/>
    </row>
    <row r="578">
      <c r="A578" s="176" t="n">
        <v>600</v>
      </c>
      <c r="B578" s="101" t="inlineStr">
        <is>
          <t>CONSULTANCY, DESIGN &amp; PROJECT MANAGEMENT</t>
        </is>
      </c>
      <c r="C578" s="102" t="n"/>
      <c r="D578" s="102" t="n"/>
      <c r="E578" s="102" t="n"/>
      <c r="F578" s="102" t="n"/>
      <c r="G578" s="102" t="n"/>
      <c r="H578" s="277" t="n"/>
      <c r="I578" s="278" t="n"/>
      <c r="J578" s="277" t="n"/>
      <c r="K578" s="494" t="n"/>
      <c r="L578" s="177" t="n"/>
      <c r="M578" s="178" t="n"/>
    </row>
    <row r="579" ht="4.35" customHeight="1">
      <c r="E579" s="38" t="n"/>
      <c r="F579" s="38" t="n"/>
      <c r="G579" s="38" t="n"/>
      <c r="K579" s="483" t="n"/>
    </row>
    <row r="580" outlineLevel="2">
      <c r="A580" s="179" t="n">
        <v>610</v>
      </c>
      <c r="B580" s="279" t="inlineStr">
        <is>
          <t>DESIGN &amp; PROJECT MANAGEMENT (Hours of project management)</t>
        </is>
      </c>
      <c r="C580" s="280" t="n"/>
      <c r="D580" s="280" t="n"/>
      <c r="E580" s="280" t="n"/>
      <c r="F580" s="280" t="n"/>
      <c r="G580" s="280" t="n"/>
      <c r="H580" s="281" t="n"/>
      <c r="I580" s="282" t="n"/>
      <c r="J580" s="281" t="n"/>
      <c r="K580" s="485" t="n"/>
      <c r="L580" s="410" t="n"/>
      <c r="M580" s="199" t="n"/>
    </row>
    <row r="581" outlineLevel="2">
      <c r="A581" s="182" t="n"/>
      <c r="B581" s="215" t="n">
        <v>1</v>
      </c>
      <c r="C581" s="231" t="inlineStr">
        <is>
          <t>(Interior) architect during the construction phase</t>
        </is>
      </c>
      <c r="D581" s="185" t="inlineStr">
        <is>
          <t>stelpost</t>
        </is>
      </c>
      <c r="E581" s="186">
        <f>ROUND(K581*$M$9,0)</f>
        <v/>
      </c>
      <c r="F581" s="477">
        <f>L581</f>
        <v/>
      </c>
      <c r="G581" s="477">
        <f>ROUND(E581*F581,0)</f>
        <v/>
      </c>
      <c r="H581" s="188" t="n"/>
      <c r="I581" s="221" t="inlineStr">
        <is>
          <t>C&amp;W</t>
        </is>
      </c>
      <c r="J581" s="188" t="n"/>
      <c r="K581" s="479" t="n">
        <v>0</v>
      </c>
      <c r="L581" s="479" t="n">
        <v>135</v>
      </c>
      <c r="M581" s="480">
        <f>K581*L581</f>
        <v/>
      </c>
    </row>
    <row r="582" outlineLevel="2">
      <c r="A582" s="182" t="n"/>
      <c r="B582" s="219" t="n">
        <v>2</v>
      </c>
      <c r="C582" s="231" t="inlineStr">
        <is>
          <t>Project management during the construction phase</t>
        </is>
      </c>
      <c r="D582" s="185" t="inlineStr">
        <is>
          <t>stelpost</t>
        </is>
      </c>
      <c r="E582" s="186">
        <f>ROUND(K582*$M$9,0)</f>
        <v/>
      </c>
      <c r="F582" s="477">
        <f>L582</f>
        <v/>
      </c>
      <c r="G582" s="477">
        <f>ROUND(E582*F582,0)</f>
        <v/>
      </c>
      <c r="H582" s="188" t="n"/>
      <c r="I582" s="221" t="inlineStr">
        <is>
          <t>C&amp;W</t>
        </is>
      </c>
      <c r="J582" s="188" t="n"/>
      <c r="K582" s="479" t="n">
        <v>0</v>
      </c>
      <c r="L582" s="479" t="n">
        <v>135</v>
      </c>
      <c r="M582" s="480">
        <f>K582*L582</f>
        <v/>
      </c>
    </row>
    <row r="583" outlineLevel="2">
      <c r="A583" s="182" t="n"/>
      <c r="B583" s="219" t="n">
        <v>3</v>
      </c>
      <c r="C583" s="231" t="inlineStr">
        <is>
          <t>Site management during the construction phase</t>
        </is>
      </c>
      <c r="D583" s="185" t="inlineStr">
        <is>
          <t>stelpost</t>
        </is>
      </c>
      <c r="E583" s="186">
        <f>ROUND(K583*$M$9,0)</f>
        <v/>
      </c>
      <c r="F583" s="477">
        <f>L583</f>
        <v/>
      </c>
      <c r="G583" s="477">
        <f>ROUND(E583*F583,0)</f>
        <v/>
      </c>
      <c r="H583" s="188" t="n"/>
      <c r="I583" s="221" t="inlineStr">
        <is>
          <t>C&amp;W</t>
        </is>
      </c>
      <c r="J583" s="188" t="n"/>
      <c r="K583" s="479" t="n">
        <v>0</v>
      </c>
      <c r="L583" s="481" t="n">
        <v>125</v>
      </c>
      <c r="M583" s="480">
        <f>K583*L583</f>
        <v/>
      </c>
    </row>
    <row r="584" outlineLevel="2">
      <c r="A584" s="182" t="n"/>
      <c r="B584" s="219" t="n">
        <v>4</v>
      </c>
      <c r="C584" s="184" t="inlineStr">
        <is>
          <t>Design phase, costs include architect en projectmanagement.</t>
        </is>
      </c>
      <c r="D584" s="185" t="inlineStr">
        <is>
          <t>stelpost</t>
        </is>
      </c>
      <c r="E584" s="186">
        <f>ROUND(K584*$M$9,0)</f>
        <v/>
      </c>
      <c r="F584" s="477">
        <f>L584</f>
        <v/>
      </c>
      <c r="G584" s="477">
        <f>ROUND(E584*F584,0)</f>
        <v/>
      </c>
      <c r="H584" s="188" t="n"/>
      <c r="I584" s="221" t="inlineStr">
        <is>
          <t>C&amp;W</t>
        </is>
      </c>
      <c r="J584" s="188" t="n"/>
      <c r="K584" s="479" t="n">
        <v>0</v>
      </c>
      <c r="L584" s="481" t="n">
        <v>9000</v>
      </c>
      <c r="M584" s="480">
        <f>K584*L584</f>
        <v/>
      </c>
    </row>
    <row r="585" outlineLevel="2">
      <c r="A585" s="195" t="n"/>
      <c r="B585" s="219" t="n"/>
      <c r="C585" s="184" t="n"/>
      <c r="D585" s="185" t="n"/>
      <c r="E585" s="186" t="n"/>
      <c r="F585" s="477" t="n"/>
      <c r="G585" s="477" t="n"/>
      <c r="H585" s="188" t="n"/>
      <c r="I585" s="221" t="n"/>
      <c r="J585" s="188" t="n"/>
      <c r="K585" s="220" t="n"/>
      <c r="L585" s="481" t="n"/>
      <c r="M585" s="480" t="n"/>
    </row>
    <row r="586" outlineLevel="2">
      <c r="E586" s="38" t="n"/>
      <c r="F586" s="38" t="n"/>
      <c r="G586" s="482">
        <f>SUM(G581:G585)</f>
        <v/>
      </c>
      <c r="K586" s="483" t="n"/>
      <c r="M586" s="484">
        <f>SUM(M581:M585)</f>
        <v/>
      </c>
    </row>
    <row r="587" outlineLevel="1">
      <c r="E587" s="38" t="n"/>
      <c r="F587" s="38" t="n"/>
      <c r="G587" s="38" t="n"/>
      <c r="K587" s="483" t="n"/>
    </row>
    <row r="588" outlineLevel="2">
      <c r="A588" s="179" t="n">
        <v>620</v>
      </c>
      <c r="B588" s="279" t="inlineStr">
        <is>
          <t>CONSULTANTS (Hours of project support) (Out of scope)</t>
        </is>
      </c>
      <c r="C588" s="280" t="n"/>
      <c r="D588" s="280" t="n"/>
      <c r="E588" s="280" t="n"/>
      <c r="F588" s="280" t="n"/>
      <c r="G588" s="280" t="n"/>
      <c r="H588" s="281" t="n"/>
      <c r="I588" s="282" t="n"/>
      <c r="J588" s="281" t="n"/>
      <c r="K588" s="485" t="n"/>
      <c r="L588" s="410" t="n"/>
      <c r="M588" s="199" t="n"/>
    </row>
    <row r="589" hidden="1" outlineLevel="2">
      <c r="A589" s="182" t="n"/>
      <c r="B589" s="215" t="n">
        <v>1</v>
      </c>
      <c r="C589" s="206" t="inlineStr">
        <is>
          <t>Structural Engineer</t>
        </is>
      </c>
      <c r="D589" s="185" t="inlineStr">
        <is>
          <t>post</t>
        </is>
      </c>
      <c r="E589" s="186">
        <f>K589</f>
        <v/>
      </c>
      <c r="F589" s="477">
        <f>CEILING(L589*$M$7,$M$8)</f>
        <v/>
      </c>
      <c r="G589" s="477">
        <f>ROUND(E589*F589,0)</f>
        <v/>
      </c>
      <c r="H589" s="188" t="n"/>
      <c r="I589" s="189" t="inlineStr">
        <is>
          <t>Adviseur</t>
        </is>
      </c>
      <c r="J589" s="188" t="n"/>
      <c r="K589" s="220" t="n">
        <v>0</v>
      </c>
      <c r="L589" s="479" t="n">
        <v>0</v>
      </c>
      <c r="M589" s="480">
        <f>K589*L589</f>
        <v/>
      </c>
    </row>
    <row r="590" hidden="1" outlineLevel="2">
      <c r="A590" s="182" t="n"/>
      <c r="B590" s="219" t="n">
        <v>2</v>
      </c>
      <c r="C590" s="184" t="inlineStr">
        <is>
          <t>Technical Installations Consultant</t>
        </is>
      </c>
      <c r="D590" s="185" t="inlineStr">
        <is>
          <t>post</t>
        </is>
      </c>
      <c r="E590" s="186">
        <f>K590</f>
        <v/>
      </c>
      <c r="F590" s="477">
        <f>CEILING(L590*$M$7,$M$8)</f>
        <v/>
      </c>
      <c r="G590" s="477">
        <f>ROUND(E590*F590,0)</f>
        <v/>
      </c>
      <c r="H590" s="188" t="n"/>
      <c r="I590" s="189" t="inlineStr">
        <is>
          <t>Adviseur</t>
        </is>
      </c>
      <c r="J590" s="188" t="n"/>
      <c r="K590" s="478" t="n">
        <v>0</v>
      </c>
      <c r="L590" s="481" t="n">
        <v>0</v>
      </c>
      <c r="M590" s="480">
        <f>K590*L590</f>
        <v/>
      </c>
      <c r="T590" s="497" t="n"/>
    </row>
    <row r="591" hidden="1" outlineLevel="2">
      <c r="A591" s="182" t="n"/>
      <c r="B591" s="219" t="n">
        <v>3</v>
      </c>
      <c r="C591" s="184" t="inlineStr">
        <is>
          <t>Lighting Consultant</t>
        </is>
      </c>
      <c r="D591" s="185" t="inlineStr">
        <is>
          <t>post</t>
        </is>
      </c>
      <c r="E591" s="186">
        <f>K591</f>
        <v/>
      </c>
      <c r="F591" s="477">
        <f>CEILING(L591*$M$7,$M$8)</f>
        <v/>
      </c>
      <c r="G591" s="477">
        <f>ROUND(E591*F591,0)</f>
        <v/>
      </c>
      <c r="H591" s="188" t="n"/>
      <c r="I591" s="189" t="inlineStr">
        <is>
          <t>Adviseur</t>
        </is>
      </c>
      <c r="J591" s="188" t="n"/>
      <c r="K591" s="220" t="n">
        <v>0</v>
      </c>
      <c r="L591" s="481" t="n">
        <v>0</v>
      </c>
      <c r="M591" s="480">
        <f>K591*L591</f>
        <v/>
      </c>
    </row>
    <row r="592" hidden="1" outlineLevel="2">
      <c r="A592" s="182" t="n"/>
      <c r="B592" s="219" t="n">
        <v>4</v>
      </c>
      <c r="C592" s="184" t="inlineStr">
        <is>
          <t>Acoustics Consultant</t>
        </is>
      </c>
      <c r="D592" s="185" t="inlineStr">
        <is>
          <t>post</t>
        </is>
      </c>
      <c r="E592" s="186">
        <f>K592</f>
        <v/>
      </c>
      <c r="F592" s="477">
        <f>CEILING(L592*$M$7,$M$8)</f>
        <v/>
      </c>
      <c r="G592" s="477">
        <f>ROUND(E592*F592,0)</f>
        <v/>
      </c>
      <c r="H592" s="188" t="n"/>
      <c r="I592" s="189" t="inlineStr">
        <is>
          <t>Adviseur</t>
        </is>
      </c>
      <c r="J592" s="188" t="n"/>
      <c r="K592" s="220" t="n">
        <v>0</v>
      </c>
      <c r="L592" s="481" t="n">
        <v>0</v>
      </c>
      <c r="M592" s="480">
        <f>K592*L592</f>
        <v/>
      </c>
    </row>
    <row r="593" hidden="1" outlineLevel="2">
      <c r="A593" s="182" t="n"/>
      <c r="B593" s="219" t="n">
        <v>5</v>
      </c>
      <c r="C593" s="184" t="inlineStr">
        <is>
          <t>Structural and/or Building Physics Consultant</t>
        </is>
      </c>
      <c r="D593" s="185" t="inlineStr">
        <is>
          <t>post</t>
        </is>
      </c>
      <c r="E593" s="186">
        <f>K593</f>
        <v/>
      </c>
      <c r="F593" s="477">
        <f>CEILING(L593*$M$7,$M$8)</f>
        <v/>
      </c>
      <c r="G593" s="477">
        <f>ROUND(E593*F593,0)</f>
        <v/>
      </c>
      <c r="H593" s="188" t="n"/>
      <c r="I593" s="189" t="inlineStr">
        <is>
          <t>Adviseur</t>
        </is>
      </c>
      <c r="J593" s="188" t="n"/>
      <c r="K593" s="220" t="n">
        <v>0</v>
      </c>
      <c r="L593" s="481" t="n">
        <v>0</v>
      </c>
      <c r="M593" s="480">
        <f>K593*L593</f>
        <v/>
      </c>
    </row>
    <row r="594" hidden="1" outlineLevel="2">
      <c r="A594" s="182" t="n"/>
      <c r="B594" s="219" t="n">
        <v>6</v>
      </c>
      <c r="C594" s="184" t="inlineStr">
        <is>
          <t>External Fire Safety Consultant.</t>
        </is>
      </c>
      <c r="D594" s="185" t="inlineStr">
        <is>
          <t>post</t>
        </is>
      </c>
      <c r="E594" s="186">
        <f>K594</f>
        <v/>
      </c>
      <c r="F594" s="477">
        <f>CEILING(L594*$M$7,$M$8)</f>
        <v/>
      </c>
      <c r="G594" s="477">
        <f>ROUND(E594*F594,0)</f>
        <v/>
      </c>
      <c r="H594" s="188" t="n"/>
      <c r="I594" s="189" t="inlineStr">
        <is>
          <t>Adviseur</t>
        </is>
      </c>
      <c r="J594" s="188" t="n"/>
      <c r="K594" s="220" t="n">
        <v>0</v>
      </c>
      <c r="L594" s="481" t="n">
        <v>0</v>
      </c>
      <c r="M594" s="480">
        <f>K594*L594</f>
        <v/>
      </c>
    </row>
    <row r="595" hidden="1" outlineLevel="2">
      <c r="A595" s="182" t="n"/>
      <c r="B595" s="219" t="n">
        <v>7</v>
      </c>
      <c r="C595" s="184" t="n"/>
      <c r="D595" s="185" t="inlineStr">
        <is>
          <t>post</t>
        </is>
      </c>
      <c r="E595" s="186">
        <f>K595</f>
        <v/>
      </c>
      <c r="F595" s="477">
        <f>CEILING(L595*$M$7,$M$8)</f>
        <v/>
      </c>
      <c r="G595" s="477">
        <f>ROUND(E595*F595,0)</f>
        <v/>
      </c>
      <c r="H595" s="188" t="n"/>
      <c r="I595" s="189" t="inlineStr">
        <is>
          <t>Adviseur</t>
        </is>
      </c>
      <c r="J595" s="188" t="n"/>
      <c r="K595" s="220" t="n">
        <v>0</v>
      </c>
      <c r="L595" s="481" t="n">
        <v>0</v>
      </c>
      <c r="M595" s="480">
        <f>K595*L595</f>
        <v/>
      </c>
    </row>
    <row r="596" hidden="1" outlineLevel="2">
      <c r="A596" s="182" t="n"/>
      <c r="B596" s="219" t="n">
        <v>8</v>
      </c>
      <c r="C596" s="184" t="n"/>
      <c r="D596" s="185" t="inlineStr">
        <is>
          <t>post</t>
        </is>
      </c>
      <c r="E596" s="186">
        <f>K596</f>
        <v/>
      </c>
      <c r="F596" s="477">
        <f>CEILING(L596*$M$7,$M$8)</f>
        <v/>
      </c>
      <c r="G596" s="477">
        <f>ROUND(E596*F596,0)</f>
        <v/>
      </c>
      <c r="H596" s="188" t="n"/>
      <c r="I596" s="189" t="inlineStr">
        <is>
          <t>Adviseur</t>
        </is>
      </c>
      <c r="J596" s="188" t="n"/>
      <c r="K596" s="220" t="n">
        <v>0</v>
      </c>
      <c r="L596" s="481" t="n">
        <v>0</v>
      </c>
      <c r="M596" s="480">
        <f>K596*L596</f>
        <v/>
      </c>
    </row>
    <row r="597" hidden="1" outlineLevel="2">
      <c r="A597" s="182" t="n"/>
      <c r="B597" s="219" t="n">
        <v>9</v>
      </c>
      <c r="C597" s="184" t="n"/>
      <c r="D597" s="185" t="inlineStr">
        <is>
          <t>post</t>
        </is>
      </c>
      <c r="E597" s="186">
        <f>K597</f>
        <v/>
      </c>
      <c r="F597" s="477">
        <f>CEILING(L597*$M$7,$M$8)</f>
        <v/>
      </c>
      <c r="G597" s="477">
        <f>ROUND(E597*F597,0)</f>
        <v/>
      </c>
      <c r="H597" s="188" t="n"/>
      <c r="I597" s="189" t="inlineStr">
        <is>
          <t>Adviseur</t>
        </is>
      </c>
      <c r="J597" s="188" t="n"/>
      <c r="K597" s="220" t="n">
        <v>0</v>
      </c>
      <c r="L597" s="481" t="n">
        <v>0</v>
      </c>
      <c r="M597" s="480">
        <f>K597*L597</f>
        <v/>
      </c>
    </row>
    <row r="598" hidden="1" outlineLevel="2">
      <c r="A598" s="182" t="n"/>
      <c r="B598" s="219" t="n">
        <v>10</v>
      </c>
      <c r="C598" s="184" t="n"/>
      <c r="D598" s="185" t="inlineStr">
        <is>
          <t>post</t>
        </is>
      </c>
      <c r="E598" s="186">
        <f>K598</f>
        <v/>
      </c>
      <c r="F598" s="477">
        <f>CEILING(L598*$M$7,$M$8)</f>
        <v/>
      </c>
      <c r="G598" s="477">
        <f>ROUND(E598*F598,0)</f>
        <v/>
      </c>
      <c r="H598" s="188" t="n"/>
      <c r="I598" s="189" t="inlineStr">
        <is>
          <t>Adviseur</t>
        </is>
      </c>
      <c r="J598" s="188" t="n"/>
      <c r="K598" s="220" t="n">
        <v>0</v>
      </c>
      <c r="L598" s="481" t="n">
        <v>0</v>
      </c>
      <c r="M598" s="480">
        <f>K598*L598</f>
        <v/>
      </c>
    </row>
    <row r="599" hidden="1" outlineLevel="2">
      <c r="A599" s="182" t="n"/>
      <c r="B599" s="219" t="n">
        <v>11</v>
      </c>
      <c r="C599" s="184" t="n"/>
      <c r="D599" s="185" t="inlineStr">
        <is>
          <t>post</t>
        </is>
      </c>
      <c r="E599" s="186">
        <f>K599</f>
        <v/>
      </c>
      <c r="F599" s="477">
        <f>CEILING(L599*$M$7,$M$8)</f>
        <v/>
      </c>
      <c r="G599" s="477">
        <f>ROUND(E599*F599,0)</f>
        <v/>
      </c>
      <c r="H599" s="188" t="n"/>
      <c r="I599" s="189" t="inlineStr">
        <is>
          <t>Adviseur</t>
        </is>
      </c>
      <c r="J599" s="188" t="n"/>
      <c r="K599" s="220" t="n">
        <v>0</v>
      </c>
      <c r="L599" s="481" t="n">
        <v>0</v>
      </c>
      <c r="M599" s="480">
        <f>K599*L599</f>
        <v/>
      </c>
    </row>
    <row r="600" hidden="1" outlineLevel="2">
      <c r="A600" s="182" t="n"/>
      <c r="B600" s="219" t="n">
        <v>12</v>
      </c>
      <c r="C600" s="184" t="n"/>
      <c r="D600" s="185" t="inlineStr">
        <is>
          <t>post</t>
        </is>
      </c>
      <c r="E600" s="186">
        <f>K600</f>
        <v/>
      </c>
      <c r="F600" s="477">
        <f>CEILING(L600*$M$7,$M$8)</f>
        <v/>
      </c>
      <c r="G600" s="477">
        <f>ROUND(E600*F600,0)</f>
        <v/>
      </c>
      <c r="H600" s="188" t="n"/>
      <c r="I600" s="189" t="inlineStr">
        <is>
          <t>Adviseur</t>
        </is>
      </c>
      <c r="J600" s="188" t="n"/>
      <c r="K600" s="220" t="n">
        <v>0</v>
      </c>
      <c r="L600" s="481" t="n">
        <v>0</v>
      </c>
      <c r="M600" s="480">
        <f>K600*L600</f>
        <v/>
      </c>
    </row>
    <row r="601" hidden="1" outlineLevel="2">
      <c r="A601" s="195" t="n"/>
      <c r="B601" s="219" t="n"/>
      <c r="C601" s="184" t="n"/>
      <c r="D601" s="185" t="n"/>
      <c r="E601" s="186" t="n"/>
      <c r="F601" s="477" t="n"/>
      <c r="G601" s="477" t="n"/>
      <c r="H601" s="188" t="n"/>
      <c r="I601" s="189" t="n"/>
      <c r="J601" s="188" t="n"/>
      <c r="K601" s="220" t="n"/>
      <c r="L601" s="481" t="n"/>
      <c r="M601" s="480" t="n"/>
    </row>
    <row r="602" hidden="1" outlineLevel="2">
      <c r="E602" s="38" t="n"/>
      <c r="F602" s="38" t="n"/>
      <c r="G602" s="482">
        <f>SUM(G589:G601)</f>
        <v/>
      </c>
      <c r="K602" s="483" t="n"/>
      <c r="M602" s="484">
        <f>SUM(M589:M601)</f>
        <v/>
      </c>
    </row>
    <row r="603" outlineLevel="1">
      <c r="E603" s="38" t="n"/>
      <c r="F603" s="38" t="n"/>
      <c r="G603" s="38" t="n"/>
      <c r="K603" s="483" t="n"/>
    </row>
    <row r="604">
      <c r="A604" s="176" t="n">
        <v>700</v>
      </c>
      <c r="B604" s="101" t="inlineStr">
        <is>
          <t>OTHER</t>
        </is>
      </c>
      <c r="C604" s="102" t="n"/>
      <c r="D604" s="102" t="n"/>
      <c r="E604" s="102" t="n"/>
      <c r="F604" s="102" t="n"/>
      <c r="G604" s="102" t="n"/>
      <c r="H604" s="277" t="n"/>
      <c r="I604" s="278" t="n"/>
      <c r="J604" s="277" t="n"/>
      <c r="K604" s="498" t="n"/>
      <c r="L604" s="177" t="n"/>
      <c r="M604" s="178" t="n"/>
    </row>
    <row r="605" ht="4.35" customHeight="1">
      <c r="E605" s="38" t="n"/>
      <c r="F605" s="38" t="n"/>
      <c r="G605" s="38" t="n"/>
      <c r="K605" s="483" t="n"/>
    </row>
    <row r="606" outlineLevel="2">
      <c r="A606" s="179" t="n">
        <v>710</v>
      </c>
      <c r="B606" s="279" t="inlineStr">
        <is>
          <t>UNFORSEEN</t>
        </is>
      </c>
      <c r="C606" s="280" t="n"/>
      <c r="D606" s="280" t="n"/>
      <c r="E606" s="280" t="n"/>
      <c r="F606" s="280" t="n"/>
      <c r="G606" s="280" t="n"/>
      <c r="H606" s="281" t="n"/>
      <c r="I606" s="282" t="n"/>
      <c r="J606" s="281" t="n"/>
      <c r="K606" s="499" t="n"/>
      <c r="L606" s="410" t="n"/>
      <c r="M606" s="199" t="n"/>
    </row>
    <row r="607" outlineLevel="2">
      <c r="A607" s="195" t="n"/>
      <c r="B607" s="215" t="n">
        <v>1</v>
      </c>
      <c r="C607" s="206" t="inlineStr">
        <is>
          <t>Unforseen</t>
        </is>
      </c>
      <c r="D607" s="185" t="inlineStr">
        <is>
          <t>%</t>
        </is>
      </c>
      <c r="E607" s="186">
        <f>K607</f>
        <v/>
      </c>
      <c r="F607" s="477">
        <f>SUM(G18:G602)/2</f>
        <v/>
      </c>
      <c r="G607" s="477">
        <f>ROUND((E607/100)*F607,0)</f>
        <v/>
      </c>
      <c r="H607" s="188" t="n"/>
      <c r="I607" s="189" t="inlineStr">
        <is>
          <t>C&amp;W</t>
        </is>
      </c>
      <c r="J607" s="188" t="n"/>
      <c r="K607" s="220" t="n">
        <v>5</v>
      </c>
      <c r="L607" s="479" t="n"/>
      <c r="M607" s="480">
        <f>G607</f>
        <v/>
      </c>
    </row>
    <row r="608" outlineLevel="2">
      <c r="E608" s="38" t="n"/>
      <c r="F608" s="38" t="n"/>
      <c r="G608" s="482">
        <f>SUM(G607:G607)</f>
        <v/>
      </c>
      <c r="K608" s="483" t="n"/>
      <c r="M608" s="484">
        <f>SUM(M607:M607)</f>
        <v/>
      </c>
    </row>
    <row r="609" outlineLevel="1">
      <c r="E609" s="38" t="n"/>
      <c r="F609" s="38" t="n"/>
      <c r="G609" s="38" t="n"/>
      <c r="K609" s="483" t="n"/>
      <c r="P609" s="497" t="n"/>
    </row>
    <row r="610" outlineLevel="2">
      <c r="A610" s="179" t="n">
        <v>720</v>
      </c>
      <c r="B610" s="279" t="inlineStr">
        <is>
          <t>COST</t>
        </is>
      </c>
      <c r="C610" s="280" t="n"/>
      <c r="D610" s="280" t="n"/>
      <c r="E610" s="280" t="n"/>
      <c r="F610" s="280" t="n"/>
      <c r="G610" s="280" t="n"/>
      <c r="H610" s="281" t="n"/>
      <c r="I610" s="282" t="n"/>
      <c r="J610" s="281" t="n"/>
      <c r="K610" s="499" t="n"/>
      <c r="L610" s="410" t="n"/>
      <c r="M610" s="199" t="n"/>
    </row>
    <row r="611" outlineLevel="2">
      <c r="A611" s="182" t="n"/>
      <c r="B611" s="215" t="n">
        <v>1</v>
      </c>
      <c r="C611" s="206" t="inlineStr">
        <is>
          <t>General expenses</t>
        </is>
      </c>
      <c r="D611" s="185" t="inlineStr">
        <is>
          <t>%</t>
        </is>
      </c>
      <c r="E611" s="186">
        <f>K611</f>
        <v/>
      </c>
      <c r="F611" s="477">
        <f>SUM(G18:G608)/2</f>
        <v/>
      </c>
      <c r="G611" s="477">
        <f>ROUND((E611/100)*F611,0)</f>
        <v/>
      </c>
      <c r="H611" s="188" t="n"/>
      <c r="I611" s="189" t="inlineStr">
        <is>
          <t>C&amp;W</t>
        </is>
      </c>
      <c r="J611" s="188" t="n"/>
      <c r="K611" s="235" t="n">
        <v>6</v>
      </c>
      <c r="L611" s="500" t="n"/>
      <c r="M611" s="500" t="n"/>
    </row>
    <row r="612" outlineLevel="2">
      <c r="A612" s="182" t="n"/>
      <c r="B612" s="219" t="n">
        <v>2</v>
      </c>
      <c r="C612" s="184" t="inlineStr">
        <is>
          <t>Profit</t>
        </is>
      </c>
      <c r="D612" s="185" t="inlineStr">
        <is>
          <t>%</t>
        </is>
      </c>
      <c r="E612" s="186">
        <f>K612</f>
        <v/>
      </c>
      <c r="F612" s="477">
        <f>F611+G611</f>
        <v/>
      </c>
      <c r="G612" s="477">
        <f>ROUND((E612/100)*F612,0)</f>
        <v/>
      </c>
      <c r="H612" s="188" t="n"/>
      <c r="I612" s="221" t="inlineStr">
        <is>
          <t>C&amp;W</t>
        </is>
      </c>
      <c r="J612" s="188" t="n"/>
      <c r="K612" s="235" t="n">
        <v>3</v>
      </c>
      <c r="L612" s="501" t="n"/>
      <c r="M612" s="501" t="n"/>
    </row>
    <row r="613" outlineLevel="2">
      <c r="A613" s="182" t="n"/>
      <c r="B613" s="219" t="n">
        <v>3</v>
      </c>
      <c r="C613" s="184" t="inlineStr">
        <is>
          <t>Risk</t>
        </is>
      </c>
      <c r="D613" s="185" t="inlineStr">
        <is>
          <t>%</t>
        </is>
      </c>
      <c r="E613" s="186">
        <f>K613</f>
        <v/>
      </c>
      <c r="F613" s="477">
        <f>F612+G612</f>
        <v/>
      </c>
      <c r="G613" s="477">
        <f>ROUND((E613/100)*F613,0)</f>
        <v/>
      </c>
      <c r="H613" s="188" t="n"/>
      <c r="I613" s="221" t="inlineStr">
        <is>
          <t>C&amp;W</t>
        </is>
      </c>
      <c r="J613" s="188" t="n"/>
      <c r="K613" s="235" t="n">
        <v>3</v>
      </c>
      <c r="L613" s="501" t="n"/>
      <c r="M613" s="501" t="n"/>
    </row>
    <row r="614" outlineLevel="2">
      <c r="E614" s="238" t="n"/>
      <c r="F614" s="38" t="n"/>
      <c r="G614" s="482">
        <f>SUM(G611:G612)</f>
        <v/>
      </c>
      <c r="K614" s="483" t="n"/>
      <c r="M614" s="484" t="n"/>
    </row>
    <row r="615" outlineLevel="1">
      <c r="E615" s="38" t="n"/>
      <c r="F615" s="38" t="n"/>
      <c r="G615" s="38" t="n"/>
      <c r="K615" s="483" t="n"/>
    </row>
    <row r="616" outlineLevel="2">
      <c r="A616" s="179" t="n">
        <v>730</v>
      </c>
      <c r="B616" s="279" t="inlineStr">
        <is>
          <t>INSURANCE</t>
        </is>
      </c>
      <c r="C616" s="280" t="n"/>
      <c r="D616" s="280" t="n"/>
      <c r="E616" s="280" t="n"/>
      <c r="F616" s="280" t="n"/>
      <c r="G616" s="280" t="n"/>
      <c r="H616" s="281" t="n"/>
      <c r="I616" s="282" t="n"/>
      <c r="J616" s="199" t="n"/>
      <c r="K616" s="485" t="n"/>
      <c r="L616" s="410" t="n"/>
      <c r="M616" s="199" t="n"/>
    </row>
    <row r="617" outlineLevel="2" ht="13.5" customHeight="1">
      <c r="A617" s="195" t="n"/>
      <c r="B617" s="215" t="n">
        <v>1</v>
      </c>
      <c r="C617" s="206" t="inlineStr">
        <is>
          <t>CAR insurance</t>
        </is>
      </c>
      <c r="D617" s="371" t="inlineStr">
        <is>
          <t>‰</t>
        </is>
      </c>
      <c r="E617" s="186">
        <f>K617</f>
        <v/>
      </c>
      <c r="F617" s="477">
        <f>SUM(G18:G614)/2</f>
        <v/>
      </c>
      <c r="G617" s="477">
        <f>ROUND((E617/1000)*F617,0)</f>
        <v/>
      </c>
      <c r="H617" s="188" t="n"/>
      <c r="I617" s="189" t="inlineStr">
        <is>
          <t>C&amp;W</t>
        </is>
      </c>
      <c r="J617" s="188" t="n"/>
      <c r="K617" s="220" t="n">
        <v>6</v>
      </c>
      <c r="L617" s="479">
        <f>SUM(M18:M614)/2</f>
        <v/>
      </c>
      <c r="M617" s="480">
        <f>(K617/1000)*L617</f>
        <v/>
      </c>
    </row>
    <row r="618" outlineLevel="2">
      <c r="E618" s="38" t="n"/>
      <c r="F618" s="38" t="n"/>
      <c r="G618" s="482" t="n"/>
      <c r="M618" s="484">
        <f>SUM(M617:M617)</f>
        <v/>
      </c>
    </row>
    <row r="619" outlineLevel="2">
      <c r="A619" s="179" t="n">
        <v>740</v>
      </c>
      <c r="B619" s="279" t="inlineStr">
        <is>
          <t>AFTERCARE</t>
        </is>
      </c>
      <c r="C619" s="280" t="n"/>
      <c r="D619" s="280" t="n"/>
      <c r="E619" s="280" t="n"/>
      <c r="F619" s="280" t="n"/>
      <c r="G619" s="280" t="n"/>
      <c r="H619" s="281" t="n"/>
      <c r="I619" s="282" t="n"/>
      <c r="J619" s="281" t="n"/>
      <c r="K619" s="485" t="n"/>
      <c r="L619" s="410" t="n"/>
      <c r="M619" s="199" t="n"/>
    </row>
    <row r="620" outlineLevel="2">
      <c r="A620" s="195" t="n"/>
      <c r="B620" s="215" t="n">
        <v>1</v>
      </c>
      <c r="C620" s="206" t="inlineStr">
        <is>
          <t>Aftercare</t>
        </is>
      </c>
      <c r="D620" s="185" t="inlineStr">
        <is>
          <t>%</t>
        </is>
      </c>
      <c r="E620" s="186" t="inlineStr">
        <is>
          <t>2,5</t>
        </is>
      </c>
      <c r="F620" s="477">
        <f>SUM(G21:G617)/2</f>
        <v/>
      </c>
      <c r="G620" s="477">
        <f>ROUND((K620/100)*F620,0)</f>
        <v/>
      </c>
      <c r="H620" s="188" t="n"/>
      <c r="I620" s="189" t="inlineStr">
        <is>
          <t>C&amp;W</t>
        </is>
      </c>
      <c r="J620" s="188" t="n"/>
      <c r="K620" s="220" t="n">
        <v>2.5</v>
      </c>
      <c r="L620" s="479">
        <f>SUM(M21:M617)/2</f>
        <v/>
      </c>
      <c r="M620" s="480">
        <f>(K620/1000)*L620</f>
        <v/>
      </c>
    </row>
    <row r="623">
      <c r="A623" s="124" t="n">
        <v>800</v>
      </c>
      <c r="B623" s="101" t="inlineStr">
        <is>
          <t>TOTAL (€), EXCLUSIVE VAT</t>
        </is>
      </c>
      <c r="C623" s="102" t="n"/>
      <c r="D623" s="102" t="n"/>
      <c r="E623" s="102" t="n"/>
      <c r="F623" s="102" t="n"/>
      <c r="G623" s="502">
        <f>SUM(G18:G618)/2</f>
        <v/>
      </c>
      <c r="H623" s="277" t="n"/>
      <c r="I623" s="278" t="n"/>
      <c r="J623" s="277" t="n"/>
      <c r="K623" s="126" t="n"/>
      <c r="L623" s="125" t="n"/>
      <c r="M623" s="503">
        <f>(SUM(M18:M618)/2)</f>
        <v/>
      </c>
    </row>
    <row r="624" ht="13.5" customHeight="1" thickBot="1"/>
    <row r="625" ht="13.5" customHeight="1" thickTop="1">
      <c r="K625" s="239" t="inlineStr">
        <is>
          <t>Risico</t>
        </is>
      </c>
      <c r="L625" s="240" t="n"/>
      <c r="M625" s="504" t="n">
        <v>0</v>
      </c>
      <c r="N625" s="242" t="n"/>
      <c r="O625" s="243" t="n"/>
      <c r="P625" s="139" t="n"/>
      <c r="Q625" s="244" t="inlineStr">
        <is>
          <t>Inkoop materiaal</t>
        </is>
      </c>
      <c r="R625" s="245">
        <f>M623-R628</f>
        <v/>
      </c>
      <c r="S625" s="246" t="n"/>
    </row>
    <row r="626">
      <c r="K626" s="247" t="n"/>
      <c r="M626" s="248" t="n"/>
      <c r="O626" s="249" t="n"/>
      <c r="Q626" s="250" t="n"/>
      <c r="R626" s="251" t="n"/>
      <c r="S626" s="252" t="n"/>
    </row>
    <row r="627" ht="13.5" customHeight="1" thickBot="1">
      <c r="K627" s="253" t="inlineStr">
        <is>
          <t>Aanbrengfee</t>
        </is>
      </c>
      <c r="L627" s="254" t="n"/>
      <c r="M627" s="505" t="n">
        <v>0</v>
      </c>
      <c r="N627" s="242" t="n"/>
      <c r="O627" s="249" t="n"/>
      <c r="Q627" s="250" t="inlineStr">
        <is>
          <t>Netto Marge (excl. Uren)</t>
        </is>
      </c>
      <c r="R627" s="256">
        <f>G623-M623</f>
        <v/>
      </c>
      <c r="S627" s="257">
        <f>R627/R625</f>
        <v/>
      </c>
    </row>
    <row r="628" ht="13.5" customHeight="1" thickTop="1">
      <c r="Q628" s="250" t="inlineStr">
        <is>
          <t>Te besteden tijd (o.b.v extern tarief)</t>
        </is>
      </c>
      <c r="R628" s="256">
        <f>M586</f>
        <v/>
      </c>
      <c r="S628" s="257">
        <f>R628/R625</f>
        <v/>
      </c>
    </row>
    <row r="629">
      <c r="A629" s="128" t="n"/>
      <c r="B629" s="129" t="n"/>
      <c r="C629" s="129" t="n"/>
      <c r="D629" s="129" t="n"/>
      <c r="E629" s="129" t="n"/>
      <c r="F629" s="129" t="n"/>
      <c r="G629" s="506" t="n"/>
      <c r="H629" s="129" t="n"/>
      <c r="I629" s="131" t="inlineStr">
        <is>
          <t>TOTALE KOSTEN</t>
        </is>
      </c>
      <c r="J629" s="132" t="n"/>
      <c r="K629" s="133" t="n"/>
      <c r="L629" s="132" t="n"/>
      <c r="M629" s="507">
        <f>M623+M625+M627</f>
        <v/>
      </c>
      <c r="N629" s="249" t="n"/>
      <c r="O629" s="258" t="n"/>
      <c r="P629" s="154" t="n"/>
      <c r="Q629" s="259" t="n"/>
      <c r="R629" s="260" t="n"/>
      <c r="S629" s="261" t="n"/>
    </row>
    <row r="631">
      <c r="E631" s="262" t="n"/>
      <c r="F631" s="139" t="n"/>
      <c r="G631" s="139" t="n"/>
      <c r="H631" s="139" t="n"/>
      <c r="I631" s="141" t="n"/>
      <c r="J631" s="139" t="n"/>
      <c r="K631" s="139" t="n"/>
      <c r="L631" s="139" t="n"/>
      <c r="M631" s="142" t="n"/>
    </row>
    <row r="632">
      <c r="E632" s="263" t="inlineStr">
        <is>
          <t>Controlefunctie</t>
        </is>
      </c>
      <c r="F632" s="264" t="n"/>
      <c r="G632" s="508">
        <f>G34+G55+G123+G185+G205+G213+G237+G257+G280+G304+G339+G372+G387+G404+G420+G432+G453+G480+G494+G511+G525+G543+G559+G569+G576+G586+G602+G608+G614+G618+G64+G79+G91+G114+G145+G165+G314+G320+G327+G368+G354</f>
        <v/>
      </c>
      <c r="H632" s="508">
        <f>H34+H55+H123+H185+H205+H213+H237+H257+H280+H304+H339+H372+H387+H404+H420+H432+H453+H480+H494+H511+H525+H543+H559+H569+H576+H586+H602+H608+H614+H618+H64+H79+H91+H114+H145+H165+H314+H320+H327+H368+H354</f>
        <v/>
      </c>
      <c r="I632" s="508" t="n"/>
      <c r="J632" s="508" t="n"/>
      <c r="K632" s="508" t="n"/>
      <c r="L632" s="508" t="n"/>
      <c r="M632" s="509">
        <f>M34+M55+M123+M185+M205+M213+M237+M257+M280+M304+M339+M372+M387+M404+M420+M432+M453+M480+M494+M511+M525+M543+M559+M569+M576+M586+M602+M608+M618+M64+M79+M91+M114+M145+M165+M314+M320+M327+M368+M354</f>
        <v/>
      </c>
    </row>
    <row r="633">
      <c r="E633" s="263" t="n"/>
      <c r="F633" s="264" t="n"/>
      <c r="G633" s="508" t="n"/>
      <c r="H633" s="264" t="n"/>
      <c r="I633" s="267" t="n"/>
      <c r="J633" s="264" t="n"/>
      <c r="K633" s="264" t="n"/>
      <c r="L633" s="264" t="n"/>
      <c r="M633" s="509" t="n"/>
    </row>
    <row r="634">
      <c r="E634" s="263" t="n"/>
      <c r="F634" s="264" t="n"/>
      <c r="G634" s="268" t="inlineStr">
        <is>
          <t>Groen = juiste optelling</t>
        </is>
      </c>
      <c r="H634" s="264" t="n"/>
      <c r="I634" s="267" t="n"/>
      <c r="J634" s="264" t="n"/>
      <c r="K634" s="264" t="n"/>
      <c r="L634" s="264" t="n"/>
      <c r="M634" s="509" t="n"/>
    </row>
    <row r="635">
      <c r="E635" s="269" t="n"/>
      <c r="F635" s="154" t="n"/>
      <c r="G635" s="270" t="inlineStr">
        <is>
          <t>Rood = onjuiste optelling</t>
        </is>
      </c>
      <c r="H635" s="154" t="n"/>
      <c r="I635" s="185" t="n"/>
      <c r="J635" s="154" t="n"/>
      <c r="K635" s="154" t="n"/>
      <c r="L635" s="154" t="n"/>
      <c r="M635" s="271" t="n"/>
    </row>
    <row r="643">
      <c r="K643" s="510" t="n"/>
      <c r="L643" s="273" t="n"/>
      <c r="M643" s="274" t="n"/>
      <c r="N643" s="273" t="n"/>
    </row>
  </sheetData>
  <mergeCells count="6">
    <mergeCell ref="O7:P7"/>
    <mergeCell ref="A7:A9"/>
    <mergeCell ref="K7:K9"/>
    <mergeCell ref="T8:V8"/>
    <mergeCell ref="D7:D9"/>
    <mergeCell ref="O8:P8"/>
  </mergeCells>
  <conditionalFormatting sqref="B7:C7">
    <cfRule type="cellIs" priority="81" operator="equal" dxfId="1">
      <formula>"Projectnummer + Naam"</formula>
    </cfRule>
  </conditionalFormatting>
  <conditionalFormatting sqref="B9:C9">
    <cfRule type="cellIs" priority="80" operator="equal" dxfId="1">
      <formula>"Versie XXX"</formula>
    </cfRule>
  </conditionalFormatting>
  <conditionalFormatting sqref="C8">
    <cfRule type="cellIs" priority="43" operator="equal" dxfId="43">
      <formula>"Kostencalculatie (D&amp;B) / DO Kostenraming (PM)"</formula>
    </cfRule>
  </conditionalFormatting>
  <conditionalFormatting sqref="F8:F9">
    <cfRule type="cellIs" priority="29" operator="equal" dxfId="1">
      <formula>"dd-mm-jjjj"</formula>
    </cfRule>
  </conditionalFormatting>
  <conditionalFormatting sqref="G632">
    <cfRule type="cellIs" priority="31" operator="notEqual" dxfId="6">
      <formula>$G$623</formula>
    </cfRule>
    <cfRule type="cellIs" priority="32" operator="equal" dxfId="5">
      <formula>$G$623</formula>
    </cfRule>
  </conditionalFormatting>
  <conditionalFormatting sqref="I18:I33">
    <cfRule type="cellIs" priority="78" operator="equal" dxfId="0">
      <formula>"Bouwkundige"</formula>
    </cfRule>
  </conditionalFormatting>
  <conditionalFormatting sqref="I37:I54">
    <cfRule type="cellIs" priority="77" operator="equal" dxfId="0">
      <formula>"Sloper"</formula>
    </cfRule>
  </conditionalFormatting>
  <conditionalFormatting sqref="I59:I64">
    <cfRule type="cellIs" priority="76" operator="equal" dxfId="0">
      <formula>"Bouwkundige"</formula>
    </cfRule>
  </conditionalFormatting>
  <conditionalFormatting sqref="I66:I79">
    <cfRule type="cellIs" priority="27" operator="equal" dxfId="0">
      <formula>"Bouwkundige"</formula>
    </cfRule>
  </conditionalFormatting>
  <conditionalFormatting sqref="I81:I91">
    <cfRule type="cellIs" priority="26" operator="equal" dxfId="0">
      <formula>"Bouwkundige"</formula>
    </cfRule>
  </conditionalFormatting>
  <conditionalFormatting sqref="I93:I113">
    <cfRule type="cellIs" priority="44" operator="equal" dxfId="0">
      <formula>"Keuken"</formula>
    </cfRule>
  </conditionalFormatting>
  <conditionalFormatting sqref="I114">
    <cfRule type="cellIs" priority="25" operator="equal" dxfId="0">
      <formula>"Bouwkundige"</formula>
    </cfRule>
  </conditionalFormatting>
  <conditionalFormatting sqref="I116:I123">
    <cfRule type="cellIs" priority="24" operator="equal" dxfId="0">
      <formula>"Bouwkundige"</formula>
    </cfRule>
  </conditionalFormatting>
  <conditionalFormatting sqref="I128:I145 I167:I185">
    <cfRule type="cellIs" priority="75" operator="equal" dxfId="0">
      <formula>"Sanitair"</formula>
    </cfRule>
  </conditionalFormatting>
  <conditionalFormatting sqref="I147:I165">
    <cfRule type="cellIs" priority="74" operator="equal" dxfId="0">
      <formula>"Sanitair"</formula>
    </cfRule>
  </conditionalFormatting>
  <conditionalFormatting sqref="I191:I204">
    <cfRule type="cellIs" priority="72" operator="equal" dxfId="29">
      <formula>"Klimaat"</formula>
    </cfRule>
  </conditionalFormatting>
  <conditionalFormatting sqref="I208:I212">
    <cfRule type="cellIs" priority="71" operator="equal" dxfId="0">
      <formula>"Loodgieter"</formula>
    </cfRule>
  </conditionalFormatting>
  <conditionalFormatting sqref="I216:I236">
    <cfRule type="cellIs" priority="70" operator="equal" dxfId="0">
      <formula>"Installateur"</formula>
    </cfRule>
  </conditionalFormatting>
  <conditionalFormatting sqref="I240:I256">
    <cfRule type="cellIs" priority="69" operator="equal" dxfId="0">
      <formula>"Beveiliging"</formula>
    </cfRule>
  </conditionalFormatting>
  <conditionalFormatting sqref="I260:I279">
    <cfRule type="cellIs" priority="68" operator="equal" dxfId="0">
      <formula>"IT installateur"</formula>
    </cfRule>
  </conditionalFormatting>
  <conditionalFormatting sqref="I283:I303">
    <cfRule type="cellIs" priority="67" operator="equal" dxfId="0">
      <formula>"Brandveiligheid"</formula>
    </cfRule>
  </conditionalFormatting>
  <conditionalFormatting sqref="I310:I314 I329:I339">
    <cfRule type="cellIs" priority="66" operator="equal" dxfId="0">
      <formula>"Vloer"</formula>
    </cfRule>
  </conditionalFormatting>
  <conditionalFormatting sqref="I316:I320">
    <cfRule type="cellIs" priority="65" operator="equal" dxfId="0">
      <formula>"Vloer"</formula>
    </cfRule>
  </conditionalFormatting>
  <conditionalFormatting sqref="I322:I327">
    <cfRule type="cellIs" priority="64" operator="equal" dxfId="0">
      <formula>"Vloer"</formula>
    </cfRule>
  </conditionalFormatting>
  <conditionalFormatting sqref="I344:I354 I370:I372">
    <cfRule type="cellIs" priority="62" operator="equal" dxfId="0">
      <formula>"Wanden"</formula>
    </cfRule>
  </conditionalFormatting>
  <conditionalFormatting sqref="I356:I368">
    <cfRule type="cellIs" priority="61" operator="equal" dxfId="0">
      <formula>"Wanden"</formula>
    </cfRule>
  </conditionalFormatting>
  <conditionalFormatting sqref="I376:I386">
    <cfRule type="cellIs" priority="59" operator="equal" dxfId="0">
      <formula>"Wandafwerk"</formula>
    </cfRule>
  </conditionalFormatting>
  <conditionalFormatting sqref="I390:I403">
    <cfRule type="cellIs" priority="58" operator="equal" dxfId="0">
      <formula>"Plafond"</formula>
    </cfRule>
  </conditionalFormatting>
  <conditionalFormatting sqref="I407:I419">
    <cfRule type="cellIs" priority="57" operator="equal" dxfId="0">
      <formula>"Verlichting"</formula>
    </cfRule>
  </conditionalFormatting>
  <conditionalFormatting sqref="I423:I431">
    <cfRule type="cellIs" priority="56" operator="equal" dxfId="0">
      <formula>"Lichtwering"</formula>
    </cfRule>
  </conditionalFormatting>
  <conditionalFormatting sqref="I435:I452">
    <cfRule type="cellIs" priority="54" operator="equal" dxfId="0">
      <formula>"Meubel"</formula>
    </cfRule>
  </conditionalFormatting>
  <conditionalFormatting sqref="I458:I479">
    <cfRule type="cellIs" priority="53" operator="equal" dxfId="0">
      <formula>"Meubilair"</formula>
    </cfRule>
  </conditionalFormatting>
  <conditionalFormatting sqref="I483:I493">
    <cfRule type="cellIs" priority="52" operator="equal" dxfId="0">
      <formula>"Losse inrichting"</formula>
    </cfRule>
  </conditionalFormatting>
  <conditionalFormatting sqref="I497:I510">
    <cfRule type="cellIs" priority="51" operator="equal" dxfId="0">
      <formula>"AV"</formula>
    </cfRule>
  </conditionalFormatting>
  <conditionalFormatting sqref="I514:I524">
    <cfRule type="cellIs" priority="50" operator="equal" dxfId="0">
      <formula>"Akoestisch"</formula>
    </cfRule>
  </conditionalFormatting>
  <conditionalFormatting sqref="I528:I542">
    <cfRule type="cellIs" priority="49" operator="equal" dxfId="0">
      <formula>"Branding"</formula>
    </cfRule>
  </conditionalFormatting>
  <conditionalFormatting sqref="I548:I558 I562:I568 I572:I575">
    <cfRule type="cellIs" priority="48" operator="equal" dxfId="0">
      <formula>"Divers"</formula>
    </cfRule>
  </conditionalFormatting>
  <conditionalFormatting sqref="I589:I601">
    <cfRule type="cellIs" priority="45" operator="equal" dxfId="0">
      <formula>"Adviseur"</formula>
    </cfRule>
  </conditionalFormatting>
  <conditionalFormatting sqref="M632">
    <cfRule type="cellIs" priority="33" operator="notEqual" dxfId="6">
      <formula>$M$623</formula>
    </cfRule>
    <cfRule type="cellIs" priority="34" operator="equal" dxfId="5">
      <formula>$M$623</formula>
    </cfRule>
  </conditionalFormatting>
  <conditionalFormatting sqref="V9:V10">
    <cfRule type="cellIs" priority="41" operator="equal" dxfId="1">
      <formula>4%</formula>
    </cfRule>
  </conditionalFormatting>
  <conditionalFormatting sqref="V11">
    <cfRule type="cellIs" priority="40" operator="equal" dxfId="1">
      <formula>0.05</formula>
    </cfRule>
  </conditionalFormatting>
  <conditionalFormatting sqref="V12">
    <cfRule type="cellIs" priority="39" operator="equal" dxfId="1">
      <formula>0.1</formula>
    </cfRule>
  </conditionalFormatting>
  <dataValidations count="1">
    <dataValidation sqref="D18:D33 D37:D54 D59:D64 D66:D79 D81:D91 D93:D114 D116:D123 D128:D145 D147:D165 D167:D185 D191:D204 D208:D212 D216:D236 D240:D256 D260:D279 D283:D303 D310:D314 D316:D320 D322:D327 D329:D339 D344:D354 D356:D368 D370:D372 D376:D386 D390:D403 D407:D419 D423:D431 D435:D452 D458:D479 D483:D493 D497:D510 D514:D524 D528:D542 D548:D558 D562:D568 D572:D575 D581:D585 D589:D601" showDropDown="0" showInputMessage="1" showErrorMessage="1" allowBlank="1" type="list">
      <formula1>Categorie</formula1>
    </dataValidation>
  </dataValidations>
  <pageMargins left="0.7086614173228347" right="0.7086614173228347" top="0.6299212598425197" bottom="0.7480314960629921" header="0.3149606299212598" footer="0.3149606299212598"/>
  <pageSetup orientation="portrait" paperSize="9" scale="64" fitToHeight="0"/>
  <rowBreaks count="8" manualBreakCount="8">
    <brk id="79" min="0" max="9" man="1"/>
    <brk id="145" min="0" max="9" man="1"/>
    <brk id="214" min="0" max="9" man="1"/>
    <brk id="258" min="0" max="9" man="1"/>
    <brk id="340" min="0" max="9" man="1"/>
    <brk id="405" min="0" max="9" man="1"/>
    <brk id="481" min="0" max="9" man="1"/>
    <brk id="576" min="0" max="9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4"/>
  <sheetViews>
    <sheetView zoomScale="55" zoomScaleNormal="55" workbookViewId="0">
      <selection activeCell="B108" sqref="B108"/>
    </sheetView>
  </sheetViews>
  <sheetFormatPr baseColWidth="8" defaultColWidth="8.75" defaultRowHeight="12.75"/>
  <cols>
    <col width="45.625" bestFit="1" customWidth="1" style="286" min="1" max="1"/>
    <col width="56.75" bestFit="1" customWidth="1" style="286" min="2" max="2"/>
    <col width="12.875" customWidth="1" style="286" min="3" max="4"/>
    <col hidden="1" width="12.875" customWidth="1" style="286" min="5" max="5"/>
    <col width="12.875" customWidth="1" style="286" min="6" max="7"/>
    <col width="18.375" bestFit="1" customWidth="1" style="286" min="8" max="8"/>
    <col width="12.875" customWidth="1" style="286" min="9" max="10"/>
    <col width="18.625" customWidth="1" style="286" min="11" max="11"/>
    <col width="16.875" customWidth="1" style="511" min="12" max="12"/>
    <col width="52.375" bestFit="1" customWidth="1" style="511" min="13" max="13"/>
    <col width="8.75" customWidth="1" style="286" min="14" max="16384"/>
  </cols>
  <sheetData>
    <row r="1">
      <c r="K1" s="511" t="n"/>
      <c r="M1" s="286" t="n"/>
    </row>
    <row r="2">
      <c r="K2" s="511" t="n"/>
      <c r="M2" s="286" t="n"/>
    </row>
    <row r="3">
      <c r="K3" s="511" t="n"/>
      <c r="M3" s="286" t="n"/>
    </row>
    <row r="4">
      <c r="B4" s="288" t="inlineStr">
        <is>
          <t>Column</t>
        </is>
      </c>
      <c r="C4" s="288" t="inlineStr">
        <is>
          <t>Type</t>
        </is>
      </c>
      <c r="D4" s="288" t="inlineStr">
        <is>
          <t>Code new</t>
        </is>
      </c>
      <c r="E4" s="288" t="inlineStr">
        <is>
          <t>Code</t>
        </is>
      </c>
      <c r="F4" s="288" t="inlineStr">
        <is>
          <t>Cost type</t>
        </is>
      </c>
      <c r="G4" s="288" t="inlineStr">
        <is>
          <t>Description</t>
        </is>
      </c>
      <c r="H4" s="288" t="inlineStr">
        <is>
          <t>Manual calculation</t>
        </is>
      </c>
      <c r="I4" s="288" t="inlineStr">
        <is>
          <t>unit qty</t>
        </is>
      </c>
      <c r="J4" s="288" t="inlineStr">
        <is>
          <t>UOM</t>
        </is>
      </c>
      <c r="K4" s="512" t="inlineStr">
        <is>
          <t>Unit cost</t>
        </is>
      </c>
      <c r="L4" s="512" t="inlineStr">
        <is>
          <t>Budget amount</t>
        </is>
      </c>
      <c r="M4" s="290" t="inlineStr">
        <is>
          <t>Note</t>
        </is>
      </c>
      <c r="N4" s="291" t="n"/>
      <c r="O4" s="291" t="n"/>
    </row>
    <row r="5">
      <c r="A5" s="101" t="inlineStr">
        <is>
          <t>CONSTRUCTION WORKS &amp; CONSTRUCTION SITE</t>
        </is>
      </c>
      <c r="B5" s="407" t="inlineStr">
        <is>
          <t>SITE SET-UP &amp; SUPERVISION</t>
        </is>
      </c>
      <c r="C5" s="407" t="inlineStr">
        <is>
          <t xml:space="preserve">PRM </t>
        </is>
      </c>
      <c r="D5" s="407" t="inlineStr">
        <is>
          <t>3,1</t>
        </is>
      </c>
      <c r="E5" s="407" t="inlineStr">
        <is>
          <t>C-1</t>
        </is>
      </c>
      <c r="F5" s="407" t="n">
        <v>1</v>
      </c>
      <c r="G5" s="407" t="n"/>
      <c r="H5" s="407" t="inlineStr">
        <is>
          <t>False</t>
        </is>
      </c>
      <c r="I5" s="292">
        <f>'4 | Calculation'!O9</f>
        <v/>
      </c>
      <c r="J5" s="407" t="inlineStr">
        <is>
          <t>m2</t>
        </is>
      </c>
      <c r="K5" s="513">
        <f>L5/I5</f>
        <v/>
      </c>
      <c r="L5" s="514">
        <f>'4 | Calculation'!M34</f>
        <v/>
      </c>
      <c r="M5" s="405" t="n"/>
    </row>
    <row r="6">
      <c r="B6" s="407" t="inlineStr">
        <is>
          <t>SITE SET-UP &amp; SUPERVISION</t>
        </is>
      </c>
      <c r="C6" s="407" t="inlineStr">
        <is>
          <t>RF</t>
        </is>
      </c>
      <c r="D6" s="407" t="inlineStr">
        <is>
          <t>3,1</t>
        </is>
      </c>
      <c r="E6" s="407" t="inlineStr">
        <is>
          <t>C-1</t>
        </is>
      </c>
      <c r="F6" s="407" t="n">
        <v>1</v>
      </c>
      <c r="G6" s="407" t="n"/>
      <c r="H6" s="407" t="inlineStr">
        <is>
          <t>False</t>
        </is>
      </c>
      <c r="I6" s="292">
        <f>'4 | Calculation'!O9</f>
        <v/>
      </c>
      <c r="J6" s="407" t="inlineStr">
        <is>
          <t>m2</t>
        </is>
      </c>
      <c r="K6" s="513">
        <f>L6/I6</f>
        <v/>
      </c>
      <c r="L6" s="514">
        <f>'4 | Calculation'!G34-'4 | Calculation'!M34</f>
        <v/>
      </c>
      <c r="M6" s="405" t="n"/>
    </row>
    <row r="7">
      <c r="B7" s="405" t="inlineStr">
        <is>
          <t>DEMOLITION WORK</t>
        </is>
      </c>
      <c r="C7" s="407" t="inlineStr">
        <is>
          <t xml:space="preserve">PRM </t>
        </is>
      </c>
      <c r="D7" s="407" t="inlineStr">
        <is>
          <t>3,3</t>
        </is>
      </c>
      <c r="E7" s="405" t="inlineStr">
        <is>
          <t>C-2</t>
        </is>
      </c>
      <c r="F7" s="405" t="n">
        <v>1</v>
      </c>
      <c r="G7" s="405" t="n"/>
      <c r="H7" s="407" t="inlineStr">
        <is>
          <t>False</t>
        </is>
      </c>
      <c r="I7" s="292">
        <f>'4 | Calculation'!O$9</f>
        <v/>
      </c>
      <c r="J7" s="407" t="inlineStr">
        <is>
          <t>m2</t>
        </is>
      </c>
      <c r="K7" s="513">
        <f>L7/I7</f>
        <v/>
      </c>
      <c r="L7" s="514">
        <f>'4 | Calculation'!M55</f>
        <v/>
      </c>
      <c r="M7" s="405" t="n"/>
    </row>
    <row r="8">
      <c r="B8" s="405" t="inlineStr">
        <is>
          <t>DEMOLITION WORK</t>
        </is>
      </c>
      <c r="C8" s="407" t="inlineStr">
        <is>
          <t>RF</t>
        </is>
      </c>
      <c r="D8" s="407" t="inlineStr">
        <is>
          <t>3,3</t>
        </is>
      </c>
      <c r="E8" s="405" t="inlineStr">
        <is>
          <t>C-2</t>
        </is>
      </c>
      <c r="F8" s="405" t="n">
        <v>1</v>
      </c>
      <c r="G8" s="405" t="n"/>
      <c r="H8" s="407" t="inlineStr">
        <is>
          <t>False</t>
        </is>
      </c>
      <c r="I8" s="292">
        <f>'4 | Calculation'!O$9</f>
        <v/>
      </c>
      <c r="J8" s="407" t="inlineStr">
        <is>
          <t>m2</t>
        </is>
      </c>
      <c r="K8" s="513">
        <f>L8/I8</f>
        <v/>
      </c>
      <c r="L8" s="514">
        <f>'4 | Calculation'!G55-'4 | Calculation'!M55</f>
        <v/>
      </c>
      <c r="M8" s="405" t="n"/>
    </row>
    <row r="9">
      <c r="B9" s="405" t="inlineStr">
        <is>
          <t>MISCELLANEOUS CONSTRUCTION WORK</t>
        </is>
      </c>
      <c r="C9" s="407" t="inlineStr">
        <is>
          <t xml:space="preserve">PRM </t>
        </is>
      </c>
      <c r="D9" s="407" t="inlineStr">
        <is>
          <t>3,15</t>
        </is>
      </c>
      <c r="E9" s="405" t="inlineStr">
        <is>
          <t>L-9</t>
        </is>
      </c>
      <c r="F9" s="405" t="n">
        <v>1</v>
      </c>
      <c r="G9" s="405" t="n"/>
      <c r="H9" s="407" t="inlineStr">
        <is>
          <t>False</t>
        </is>
      </c>
      <c r="I9" s="292">
        <f>'4 | Calculation'!O$9</f>
        <v/>
      </c>
      <c r="J9" s="407" t="inlineStr">
        <is>
          <t>m2</t>
        </is>
      </c>
      <c r="K9" s="513">
        <f>L9/I9</f>
        <v/>
      </c>
      <c r="L9" s="514">
        <f>'4 | Calculation'!M64</f>
        <v/>
      </c>
      <c r="M9" s="405" t="n"/>
    </row>
    <row r="10">
      <c r="B10" s="405" t="inlineStr">
        <is>
          <t>MISCELLANEOUS CONSTRUCTION WORK</t>
        </is>
      </c>
      <c r="C10" s="407" t="inlineStr">
        <is>
          <t>RF</t>
        </is>
      </c>
      <c r="D10" s="407" t="inlineStr">
        <is>
          <t>3,15</t>
        </is>
      </c>
      <c r="E10" s="405" t="inlineStr">
        <is>
          <t>L-9</t>
        </is>
      </c>
      <c r="F10" s="405" t="n">
        <v>1</v>
      </c>
      <c r="G10" s="405" t="n"/>
      <c r="H10" s="407" t="inlineStr">
        <is>
          <t>False</t>
        </is>
      </c>
      <c r="I10" s="292">
        <f>'4 | Calculation'!O$9</f>
        <v/>
      </c>
      <c r="J10" s="407" t="inlineStr">
        <is>
          <t>m2</t>
        </is>
      </c>
      <c r="K10" s="513">
        <f>L10/I10</f>
        <v/>
      </c>
      <c r="L10" s="514">
        <f>'4 | Calculation'!G64-'4 | Calculation'!M64</f>
        <v/>
      </c>
      <c r="M10" s="405" t="n"/>
    </row>
    <row r="11">
      <c r="B11" s="405" t="inlineStr">
        <is>
          <t>STAIRCASE</t>
        </is>
      </c>
      <c r="C11" s="407" t="inlineStr">
        <is>
          <t xml:space="preserve">PRM </t>
        </is>
      </c>
      <c r="D11" s="407" t="inlineStr">
        <is>
          <t>3,25</t>
        </is>
      </c>
      <c r="E11" s="405" t="inlineStr">
        <is>
          <t>D-4</t>
        </is>
      </c>
      <c r="F11" s="405" t="n">
        <v>1</v>
      </c>
      <c r="G11" s="405" t="n"/>
      <c r="H11" s="407" t="inlineStr">
        <is>
          <t>False</t>
        </is>
      </c>
      <c r="I11" s="292">
        <f>'4 | Calculation'!O$9</f>
        <v/>
      </c>
      <c r="J11" s="407" t="inlineStr">
        <is>
          <t>m2</t>
        </is>
      </c>
      <c r="K11" s="513">
        <f>L11/I11</f>
        <v/>
      </c>
      <c r="L11" s="514">
        <f>'4 | Calculation'!M79</f>
        <v/>
      </c>
      <c r="M11" s="405" t="n"/>
    </row>
    <row r="12">
      <c r="B12" s="405" t="inlineStr">
        <is>
          <t>STAIRCASE</t>
        </is>
      </c>
      <c r="C12" s="407" t="inlineStr">
        <is>
          <t>RF</t>
        </is>
      </c>
      <c r="D12" s="407" t="inlineStr">
        <is>
          <t>3,25</t>
        </is>
      </c>
      <c r="E12" s="405" t="inlineStr">
        <is>
          <t>D-4</t>
        </is>
      </c>
      <c r="F12" s="405" t="n">
        <v>1</v>
      </c>
      <c r="G12" s="405" t="n"/>
      <c r="H12" s="407" t="inlineStr">
        <is>
          <t>False</t>
        </is>
      </c>
      <c r="I12" s="292">
        <f>'4 | Calculation'!O$9</f>
        <v/>
      </c>
      <c r="J12" s="407" t="inlineStr">
        <is>
          <t>m2</t>
        </is>
      </c>
      <c r="K12" s="513">
        <f>L12/I12</f>
        <v/>
      </c>
      <c r="L12" s="514">
        <f>'4 | Calculation'!G79-'4 | Calculation'!M79</f>
        <v/>
      </c>
      <c r="M12" s="405" t="n"/>
    </row>
    <row r="13">
      <c r="B13" s="405" t="inlineStr">
        <is>
          <t>ENTRANCES</t>
        </is>
      </c>
      <c r="C13" s="407" t="inlineStr">
        <is>
          <t xml:space="preserve">PRM </t>
        </is>
      </c>
      <c r="D13" s="407" t="inlineStr">
        <is>
          <t>3,47</t>
        </is>
      </c>
      <c r="E13" s="405" t="inlineStr">
        <is>
          <t>I-5</t>
        </is>
      </c>
      <c r="F13" s="405" t="n">
        <v>1</v>
      </c>
      <c r="G13" s="405" t="n"/>
      <c r="H13" s="407" t="inlineStr">
        <is>
          <t>False</t>
        </is>
      </c>
      <c r="I13" s="292">
        <f>'4 | Calculation'!O$9</f>
        <v/>
      </c>
      <c r="J13" s="407" t="inlineStr">
        <is>
          <t>m2</t>
        </is>
      </c>
      <c r="K13" s="513">
        <f>L13/I13</f>
        <v/>
      </c>
      <c r="L13" s="514">
        <f>'4 | Calculation'!M91</f>
        <v/>
      </c>
      <c r="M13" s="405" t="n"/>
    </row>
    <row r="14">
      <c r="B14" s="405" t="inlineStr">
        <is>
          <t>ENTRANCES</t>
        </is>
      </c>
      <c r="C14" s="407" t="inlineStr">
        <is>
          <t>RF</t>
        </is>
      </c>
      <c r="D14" s="407" t="inlineStr">
        <is>
          <t>3,47</t>
        </is>
      </c>
      <c r="E14" s="405" t="inlineStr">
        <is>
          <t>I-5</t>
        </is>
      </c>
      <c r="F14" s="405" t="n">
        <v>1</v>
      </c>
      <c r="G14" s="405" t="n"/>
      <c r="H14" s="407" t="inlineStr">
        <is>
          <t>False</t>
        </is>
      </c>
      <c r="I14" s="292">
        <f>'4 | Calculation'!O$9</f>
        <v/>
      </c>
      <c r="J14" s="407" t="inlineStr">
        <is>
          <t>m2</t>
        </is>
      </c>
      <c r="K14" s="513">
        <f>L14/I14</f>
        <v/>
      </c>
      <c r="L14" s="514">
        <f>'4 | Calculation'!G91-'4 | Calculation'!M91</f>
        <v/>
      </c>
      <c r="M14" s="405" t="n"/>
    </row>
    <row r="15">
      <c r="B15" s="405" t="inlineStr">
        <is>
          <t>KITCHEN</t>
        </is>
      </c>
      <c r="C15" s="407" t="inlineStr">
        <is>
          <t xml:space="preserve">PRM </t>
        </is>
      </c>
      <c r="D15" s="407" t="inlineStr">
        <is>
          <t>3,48</t>
        </is>
      </c>
      <c r="E15" s="405" t="inlineStr">
        <is>
          <t>K-4</t>
        </is>
      </c>
      <c r="F15" s="405" t="n">
        <v>1</v>
      </c>
      <c r="G15" s="405" t="n"/>
      <c r="H15" s="407" t="inlineStr">
        <is>
          <t>False</t>
        </is>
      </c>
      <c r="I15" s="292">
        <f>'4 | Calculation'!O$9</f>
        <v/>
      </c>
      <c r="J15" s="407" t="inlineStr">
        <is>
          <t>m2</t>
        </is>
      </c>
      <c r="K15" s="513">
        <f>L15/I15</f>
        <v/>
      </c>
      <c r="L15" s="514">
        <f>'4 | Calculation'!M114</f>
        <v/>
      </c>
      <c r="M15" s="405" t="n"/>
    </row>
    <row r="16">
      <c r="B16" s="405" t="inlineStr">
        <is>
          <t>KITCHEN</t>
        </is>
      </c>
      <c r="C16" s="407" t="inlineStr">
        <is>
          <t>RF</t>
        </is>
      </c>
      <c r="D16" s="407" t="inlineStr">
        <is>
          <t>3,48</t>
        </is>
      </c>
      <c r="E16" s="405" t="inlineStr">
        <is>
          <t>K-4</t>
        </is>
      </c>
      <c r="F16" s="405" t="n">
        <v>1</v>
      </c>
      <c r="G16" s="405" t="n"/>
      <c r="H16" s="407" t="inlineStr">
        <is>
          <t>False</t>
        </is>
      </c>
      <c r="I16" s="292">
        <f>'4 | Calculation'!O$9</f>
        <v/>
      </c>
      <c r="J16" s="407" t="inlineStr">
        <is>
          <t>m2</t>
        </is>
      </c>
      <c r="K16" s="513">
        <f>L16/I16</f>
        <v/>
      </c>
      <c r="L16" s="514">
        <f>'4 | Calculation'!G114-'4 | Calculation'!M114</f>
        <v/>
      </c>
      <c r="M16" s="405" t="n"/>
    </row>
    <row r="17">
      <c r="B17" s="405" t="inlineStr">
        <is>
          <t>OTHER</t>
        </is>
      </c>
      <c r="C17" s="407" t="inlineStr">
        <is>
          <t xml:space="preserve">PRM </t>
        </is>
      </c>
      <c r="D17" s="407" t="inlineStr">
        <is>
          <t>3,46</t>
        </is>
      </c>
      <c r="E17" s="405" t="inlineStr">
        <is>
          <t>G-2</t>
        </is>
      </c>
      <c r="F17" s="405" t="n">
        <v>1</v>
      </c>
      <c r="G17" s="405" t="n"/>
      <c r="H17" s="407" t="inlineStr">
        <is>
          <t>False</t>
        </is>
      </c>
      <c r="I17" s="292">
        <f>'4 | Calculation'!O$9</f>
        <v/>
      </c>
      <c r="J17" s="407" t="inlineStr">
        <is>
          <t>m2</t>
        </is>
      </c>
      <c r="K17" s="513">
        <f>L17/I17</f>
        <v/>
      </c>
      <c r="L17" s="514">
        <f>'4 | Calculation'!M123</f>
        <v/>
      </c>
      <c r="M17" s="405" t="n"/>
    </row>
    <row r="18">
      <c r="B18" s="405" t="inlineStr">
        <is>
          <t>OTHER</t>
        </is>
      </c>
      <c r="C18" s="407" t="inlineStr">
        <is>
          <t>RF</t>
        </is>
      </c>
      <c r="D18" s="407" t="inlineStr">
        <is>
          <t>3,46</t>
        </is>
      </c>
      <c r="E18" s="405" t="inlineStr">
        <is>
          <t>G-2</t>
        </is>
      </c>
      <c r="F18" s="405" t="n">
        <v>1</v>
      </c>
      <c r="G18" s="405" t="n"/>
      <c r="H18" s="407" t="inlineStr">
        <is>
          <t>False</t>
        </is>
      </c>
      <c r="I18" s="292">
        <f>'4 | Calculation'!O$9</f>
        <v/>
      </c>
      <c r="J18" s="407" t="inlineStr">
        <is>
          <t>m2</t>
        </is>
      </c>
      <c r="K18" s="513">
        <f>L18/I18</f>
        <v/>
      </c>
      <c r="L18" s="514">
        <f>'4 | Calculation'!G123-'4 | Calculation'!M123</f>
        <v/>
      </c>
      <c r="M18" s="405" t="n"/>
    </row>
    <row r="19">
      <c r="B19" s="405" t="inlineStr">
        <is>
          <t>TOILET AREA</t>
        </is>
      </c>
      <c r="C19" s="407" t="inlineStr">
        <is>
          <t xml:space="preserve">PRM </t>
        </is>
      </c>
      <c r="D19" s="407" t="inlineStr">
        <is>
          <t>3,49</t>
        </is>
      </c>
      <c r="E19" s="405" t="inlineStr">
        <is>
          <t>M-3</t>
        </is>
      </c>
      <c r="F19" s="405" t="n">
        <v>1</v>
      </c>
      <c r="G19" s="405" t="n"/>
      <c r="H19" s="407" t="inlineStr">
        <is>
          <t>False</t>
        </is>
      </c>
      <c r="I19" s="292">
        <f>'4 | Calculation'!O$9</f>
        <v/>
      </c>
      <c r="J19" s="407" t="inlineStr">
        <is>
          <t>m2</t>
        </is>
      </c>
      <c r="K19" s="513">
        <f>L19/I19</f>
        <v/>
      </c>
      <c r="L19" s="514">
        <f>'4 | Calculation'!M145</f>
        <v/>
      </c>
      <c r="M19" s="405" t="n"/>
    </row>
    <row r="20">
      <c r="B20" s="405" t="inlineStr">
        <is>
          <t>TOILET AREA</t>
        </is>
      </c>
      <c r="C20" s="407" t="inlineStr">
        <is>
          <t>RF</t>
        </is>
      </c>
      <c r="D20" s="407" t="inlineStr">
        <is>
          <t>3,49</t>
        </is>
      </c>
      <c r="E20" s="405" t="inlineStr">
        <is>
          <t>M-3</t>
        </is>
      </c>
      <c r="F20" s="405" t="n">
        <v>1</v>
      </c>
      <c r="G20" s="405" t="n"/>
      <c r="H20" s="407" t="inlineStr">
        <is>
          <t>False</t>
        </is>
      </c>
      <c r="I20" s="292">
        <f>'4 | Calculation'!O$9</f>
        <v/>
      </c>
      <c r="J20" s="407" t="inlineStr">
        <is>
          <t>m2</t>
        </is>
      </c>
      <c r="K20" s="513">
        <f>L20/I20</f>
        <v/>
      </c>
      <c r="L20" s="514">
        <f>'4 | Calculation'!G145-'4 | Calculation'!M145</f>
        <v/>
      </c>
      <c r="M20" s="405" t="n"/>
    </row>
    <row r="21">
      <c r="B21" s="405" t="inlineStr">
        <is>
          <t>SHOWER</t>
        </is>
      </c>
      <c r="C21" s="407" t="inlineStr">
        <is>
          <t xml:space="preserve">PRM </t>
        </is>
      </c>
      <c r="D21" s="407" t="inlineStr">
        <is>
          <t>3,50</t>
        </is>
      </c>
      <c r="E21" s="405" t="inlineStr">
        <is>
          <t>M-3</t>
        </is>
      </c>
      <c r="F21" s="405" t="n">
        <v>1</v>
      </c>
      <c r="G21" s="405" t="n"/>
      <c r="H21" s="407" t="inlineStr">
        <is>
          <t>False</t>
        </is>
      </c>
      <c r="I21" s="292">
        <f>'4 | Calculation'!O$9</f>
        <v/>
      </c>
      <c r="J21" s="407" t="inlineStr">
        <is>
          <t>m2</t>
        </is>
      </c>
      <c r="K21" s="513">
        <f>L21/I21</f>
        <v/>
      </c>
      <c r="L21" s="514">
        <f>'4 | Calculation'!M165</f>
        <v/>
      </c>
      <c r="M21" s="405" t="n"/>
    </row>
    <row r="22">
      <c r="B22" s="405" t="inlineStr">
        <is>
          <t>SHOWER</t>
        </is>
      </c>
      <c r="C22" s="407" t="inlineStr">
        <is>
          <t>RF</t>
        </is>
      </c>
      <c r="D22" s="407" t="inlineStr">
        <is>
          <t>3,50</t>
        </is>
      </c>
      <c r="E22" s="405" t="inlineStr">
        <is>
          <t>M-3</t>
        </is>
      </c>
      <c r="F22" s="405" t="n">
        <v>1</v>
      </c>
      <c r="G22" s="405" t="n"/>
      <c r="H22" s="407" t="inlineStr">
        <is>
          <t>False</t>
        </is>
      </c>
      <c r="I22" s="292">
        <f>'4 | Calculation'!O$9</f>
        <v/>
      </c>
      <c r="J22" s="407" t="inlineStr">
        <is>
          <t>m2</t>
        </is>
      </c>
      <c r="K22" s="513">
        <f>L22/I22</f>
        <v/>
      </c>
      <c r="L22" s="514">
        <f>'4 | Calculation'!G165-'4 | Calculation'!M165</f>
        <v/>
      </c>
      <c r="M22" s="405" t="n"/>
    </row>
    <row r="23">
      <c r="B23" s="405" t="inlineStr">
        <is>
          <t>STORAGE/FIRST AID/BREASTFEEDING ROOM</t>
        </is>
      </c>
      <c r="C23" s="407" t="inlineStr">
        <is>
          <t xml:space="preserve">PRM </t>
        </is>
      </c>
      <c r="D23" s="407" t="inlineStr">
        <is>
          <t>3,51</t>
        </is>
      </c>
      <c r="E23" s="405" t="inlineStr">
        <is>
          <t>L-6</t>
        </is>
      </c>
      <c r="F23" s="405" t="n">
        <v>1</v>
      </c>
      <c r="G23" s="405" t="n"/>
      <c r="H23" s="407" t="inlineStr">
        <is>
          <t>False</t>
        </is>
      </c>
      <c r="I23" s="292">
        <f>'4 | Calculation'!O$9</f>
        <v/>
      </c>
      <c r="J23" s="407" t="inlineStr">
        <is>
          <t>m2</t>
        </is>
      </c>
      <c r="K23" s="513">
        <f>L23/I23</f>
        <v/>
      </c>
      <c r="L23" s="514">
        <f>'4 | Calculation'!M185</f>
        <v/>
      </c>
      <c r="M23" s="405" t="n"/>
    </row>
    <row r="24">
      <c r="B24" s="405" t="inlineStr">
        <is>
          <t>STORAGE/FIRST AID/BREASTFEEDING ROOM</t>
        </is>
      </c>
      <c r="C24" s="407" t="inlineStr">
        <is>
          <t>RF</t>
        </is>
      </c>
      <c r="D24" s="407" t="inlineStr">
        <is>
          <t>3,51</t>
        </is>
      </c>
      <c r="E24" s="405" t="inlineStr">
        <is>
          <t>L-6</t>
        </is>
      </c>
      <c r="F24" s="405" t="n">
        <v>1</v>
      </c>
      <c r="G24" s="405" t="n"/>
      <c r="H24" s="407" t="inlineStr">
        <is>
          <t>False</t>
        </is>
      </c>
      <c r="I24" s="292">
        <f>'4 | Calculation'!O$9</f>
        <v/>
      </c>
      <c r="J24" s="407" t="inlineStr">
        <is>
          <t>m2</t>
        </is>
      </c>
      <c r="K24" s="513">
        <f>L24/I24</f>
        <v/>
      </c>
      <c r="L24" s="514">
        <f>'4 | Calculation'!G185-'4 | Calculation'!M185</f>
        <v/>
      </c>
      <c r="M24" s="405" t="n"/>
    </row>
    <row r="25">
      <c r="A25" s="101" t="inlineStr">
        <is>
          <t>INSTALLATION WORK</t>
        </is>
      </c>
      <c r="B25" s="405" t="inlineStr">
        <is>
          <t>HVAC SYSTEM</t>
        </is>
      </c>
      <c r="C25" s="407" t="inlineStr">
        <is>
          <t xml:space="preserve">PRM </t>
        </is>
      </c>
      <c r="D25" s="407" t="inlineStr">
        <is>
          <t>3,38</t>
        </is>
      </c>
      <c r="E25" s="405" t="inlineStr">
        <is>
          <t>M-6</t>
        </is>
      </c>
      <c r="F25" s="405" t="n">
        <v>1</v>
      </c>
      <c r="G25" s="405" t="n"/>
      <c r="H25" s="407" t="inlineStr">
        <is>
          <t>False</t>
        </is>
      </c>
      <c r="I25" s="292">
        <f>'4 | Calculation'!O$9</f>
        <v/>
      </c>
      <c r="J25" s="407" t="inlineStr">
        <is>
          <t>m2</t>
        </is>
      </c>
      <c r="K25" s="513">
        <f>L25/I25</f>
        <v/>
      </c>
      <c r="L25" s="515">
        <f>'4 | Calculation'!M205</f>
        <v/>
      </c>
      <c r="M25" s="405" t="n"/>
    </row>
    <row r="26">
      <c r="B26" s="405" t="inlineStr">
        <is>
          <t>HVAC SYSTEM</t>
        </is>
      </c>
      <c r="C26" s="407" t="inlineStr">
        <is>
          <t>RF</t>
        </is>
      </c>
      <c r="D26" s="407" t="inlineStr">
        <is>
          <t>3,38</t>
        </is>
      </c>
      <c r="E26" s="405" t="inlineStr">
        <is>
          <t>M-6</t>
        </is>
      </c>
      <c r="F26" s="405" t="n">
        <v>1</v>
      </c>
      <c r="G26" s="405" t="n"/>
      <c r="H26" s="407" t="inlineStr">
        <is>
          <t>False</t>
        </is>
      </c>
      <c r="I26" s="292">
        <f>'4 | Calculation'!O$9</f>
        <v/>
      </c>
      <c r="J26" s="407" t="inlineStr">
        <is>
          <t>m2</t>
        </is>
      </c>
      <c r="K26" s="513">
        <f>L26/I26</f>
        <v/>
      </c>
      <c r="L26" s="515">
        <f>'4 | Calculation'!G205-'4 | Calculation'!M205</f>
        <v/>
      </c>
      <c r="M26" s="405" t="n"/>
    </row>
    <row r="27">
      <c r="B27" s="405" t="inlineStr">
        <is>
          <t>PLUMBING WORKS</t>
        </is>
      </c>
      <c r="C27" s="407" t="inlineStr">
        <is>
          <t xml:space="preserve">PRM </t>
        </is>
      </c>
      <c r="D27" s="407" t="inlineStr">
        <is>
          <t>3,38a</t>
        </is>
      </c>
      <c r="E27" s="405" t="inlineStr">
        <is>
          <t>M-3</t>
        </is>
      </c>
      <c r="F27" s="405" t="n">
        <v>1</v>
      </c>
      <c r="G27" s="405" t="n"/>
      <c r="H27" s="407" t="inlineStr">
        <is>
          <t>False</t>
        </is>
      </c>
      <c r="I27" s="292">
        <f>'4 | Calculation'!O$9</f>
        <v/>
      </c>
      <c r="J27" s="407" t="inlineStr">
        <is>
          <t>m2</t>
        </is>
      </c>
      <c r="K27" s="513">
        <f>L27/I27</f>
        <v/>
      </c>
      <c r="L27" s="515">
        <f>'4 | Calculation'!M213</f>
        <v/>
      </c>
      <c r="M27" s="405" t="n"/>
    </row>
    <row r="28">
      <c r="B28" s="405" t="inlineStr">
        <is>
          <t>PLUMBING WORKS</t>
        </is>
      </c>
      <c r="C28" s="407" t="inlineStr">
        <is>
          <t>RF</t>
        </is>
      </c>
      <c r="D28" s="407" t="inlineStr">
        <is>
          <t>3,38a</t>
        </is>
      </c>
      <c r="E28" s="405" t="inlineStr">
        <is>
          <t>M-3</t>
        </is>
      </c>
      <c r="F28" s="405" t="n">
        <v>1</v>
      </c>
      <c r="G28" s="405" t="n"/>
      <c r="H28" s="407" t="inlineStr">
        <is>
          <t>False</t>
        </is>
      </c>
      <c r="I28" s="292">
        <f>'4 | Calculation'!O$9</f>
        <v/>
      </c>
      <c r="J28" s="407" t="inlineStr">
        <is>
          <t>m2</t>
        </is>
      </c>
      <c r="K28" s="513">
        <f>L28/I28</f>
        <v/>
      </c>
      <c r="L28" s="515">
        <f>'4 | Calculation'!G213-'4 | Calculation'!M213</f>
        <v/>
      </c>
      <c r="M28" s="405" t="n"/>
    </row>
    <row r="29">
      <c r="B29" s="405" t="inlineStr">
        <is>
          <t>ELECTRICAL INSTALLATION</t>
        </is>
      </c>
      <c r="C29" s="407" t="inlineStr">
        <is>
          <t xml:space="preserve">PRM </t>
        </is>
      </c>
      <c r="D29" s="407" t="inlineStr">
        <is>
          <t>3,39</t>
        </is>
      </c>
      <c r="E29" s="405" t="inlineStr">
        <is>
          <t>N-1</t>
        </is>
      </c>
      <c r="F29" s="405" t="n">
        <v>1</v>
      </c>
      <c r="G29" s="405" t="n"/>
      <c r="H29" s="407" t="inlineStr">
        <is>
          <t>False</t>
        </is>
      </c>
      <c r="I29" s="292">
        <f>'4 | Calculation'!O$9</f>
        <v/>
      </c>
      <c r="J29" s="407" t="inlineStr">
        <is>
          <t>m2</t>
        </is>
      </c>
      <c r="K29" s="513">
        <f>L29/I29</f>
        <v/>
      </c>
      <c r="L29" s="515">
        <f>'4 | Calculation'!M237</f>
        <v/>
      </c>
      <c r="M29" s="405" t="n"/>
    </row>
    <row r="30">
      <c r="B30" s="405" t="inlineStr">
        <is>
          <t>ELECTRICAL INSTALLATION</t>
        </is>
      </c>
      <c r="C30" s="407" t="inlineStr">
        <is>
          <t>RF</t>
        </is>
      </c>
      <c r="D30" s="407" t="inlineStr">
        <is>
          <t>3,39</t>
        </is>
      </c>
      <c r="E30" s="405" t="inlineStr">
        <is>
          <t>N-1</t>
        </is>
      </c>
      <c r="F30" s="405" t="n">
        <v>1</v>
      </c>
      <c r="G30" s="405" t="n"/>
      <c r="H30" s="407" t="inlineStr">
        <is>
          <t>False</t>
        </is>
      </c>
      <c r="I30" s="292">
        <f>'4 | Calculation'!O$9</f>
        <v/>
      </c>
      <c r="J30" s="407" t="inlineStr">
        <is>
          <t>m2</t>
        </is>
      </c>
      <c r="K30" s="513">
        <f>L30/I30</f>
        <v/>
      </c>
      <c r="L30" s="515">
        <f>'4 | Calculation'!G237-'4 | Calculation'!M237</f>
        <v/>
      </c>
      <c r="M30" s="405" t="n"/>
    </row>
    <row r="31">
      <c r="B31" s="405" t="inlineStr">
        <is>
          <t>ACCESS CONTROL &amp; SECURITY</t>
        </is>
      </c>
      <c r="C31" s="407" t="inlineStr">
        <is>
          <t xml:space="preserve">PRM </t>
        </is>
      </c>
      <c r="D31" s="407" t="inlineStr">
        <is>
          <t>3,39a</t>
        </is>
      </c>
      <c r="E31" s="405" t="inlineStr">
        <is>
          <t>K-2</t>
        </is>
      </c>
      <c r="F31" s="405" t="n">
        <v>1</v>
      </c>
      <c r="G31" s="405" t="n"/>
      <c r="H31" s="407" t="inlineStr">
        <is>
          <t>False</t>
        </is>
      </c>
      <c r="I31" s="292">
        <f>'4 | Calculation'!O$9</f>
        <v/>
      </c>
      <c r="J31" s="407" t="inlineStr">
        <is>
          <t>m2</t>
        </is>
      </c>
      <c r="K31" s="513">
        <f>L31/I31</f>
        <v/>
      </c>
      <c r="L31" s="515">
        <f>'4 | Calculation'!M257</f>
        <v/>
      </c>
      <c r="M31" s="405" t="n"/>
    </row>
    <row r="32">
      <c r="B32" s="405" t="inlineStr">
        <is>
          <t>ACCESS CONTROL &amp; SECURITY</t>
        </is>
      </c>
      <c r="C32" s="407" t="inlineStr">
        <is>
          <t>RF</t>
        </is>
      </c>
      <c r="D32" s="407" t="inlineStr">
        <is>
          <t>3,39a</t>
        </is>
      </c>
      <c r="E32" s="405" t="inlineStr">
        <is>
          <t>K-2</t>
        </is>
      </c>
      <c r="F32" s="405" t="n">
        <v>1</v>
      </c>
      <c r="G32" s="405" t="n"/>
      <c r="H32" s="407" t="inlineStr">
        <is>
          <t>False</t>
        </is>
      </c>
      <c r="I32" s="292">
        <f>'4 | Calculation'!O$9</f>
        <v/>
      </c>
      <c r="J32" s="407" t="inlineStr">
        <is>
          <t>m2</t>
        </is>
      </c>
      <c r="K32" s="513">
        <f>L32/I32</f>
        <v/>
      </c>
      <c r="L32" s="515">
        <f>'4 | Calculation'!G257-'4 | Calculation'!M257</f>
        <v/>
      </c>
      <c r="M32" s="405" t="n"/>
    </row>
    <row r="33">
      <c r="B33" s="405" t="inlineStr">
        <is>
          <t>IT INSTALLATION</t>
        </is>
      </c>
      <c r="C33" s="407" t="inlineStr">
        <is>
          <t xml:space="preserve">PRM </t>
        </is>
      </c>
      <c r="D33" s="407" t="inlineStr">
        <is>
          <t>3,39c</t>
        </is>
      </c>
      <c r="E33" s="405" t="inlineStr">
        <is>
          <t>K-7</t>
        </is>
      </c>
      <c r="F33" s="405" t="n">
        <v>1</v>
      </c>
      <c r="G33" s="405" t="n"/>
      <c r="H33" s="407" t="inlineStr">
        <is>
          <t>False</t>
        </is>
      </c>
      <c r="I33" s="292">
        <f>'4 | Calculation'!O$9</f>
        <v/>
      </c>
      <c r="J33" s="407" t="inlineStr">
        <is>
          <t>m2</t>
        </is>
      </c>
      <c r="K33" s="513">
        <f>L33/I33</f>
        <v/>
      </c>
      <c r="L33" s="515">
        <f>'4 | Calculation'!M280</f>
        <v/>
      </c>
      <c r="M33" s="405" t="n"/>
    </row>
    <row r="34">
      <c r="B34" s="405" t="inlineStr">
        <is>
          <t>IT INSTALLATION</t>
        </is>
      </c>
      <c r="C34" s="407" t="inlineStr">
        <is>
          <t>RF</t>
        </is>
      </c>
      <c r="D34" s="407" t="inlineStr">
        <is>
          <t>3,39c</t>
        </is>
      </c>
      <c r="E34" s="405" t="inlineStr">
        <is>
          <t>K-7</t>
        </is>
      </c>
      <c r="F34" s="405" t="n">
        <v>1</v>
      </c>
      <c r="G34" s="405" t="n"/>
      <c r="H34" s="407" t="inlineStr">
        <is>
          <t>False</t>
        </is>
      </c>
      <c r="I34" s="292">
        <f>'4 | Calculation'!O$9</f>
        <v/>
      </c>
      <c r="J34" s="407" t="inlineStr">
        <is>
          <t>m2</t>
        </is>
      </c>
      <c r="K34" s="513">
        <f>L34/I34</f>
        <v/>
      </c>
      <c r="L34" s="515">
        <f>'4 | Calculation'!G280-'4 | Calculation'!M280</f>
        <v/>
      </c>
      <c r="M34" s="405" t="n"/>
    </row>
    <row r="35">
      <c r="B35" s="405" t="inlineStr">
        <is>
          <t>FIRE SAFETY</t>
        </is>
      </c>
      <c r="C35" s="407" t="inlineStr">
        <is>
          <t xml:space="preserve">PRM </t>
        </is>
      </c>
      <c r="D35" s="407" t="inlineStr">
        <is>
          <t>3,39d</t>
        </is>
      </c>
      <c r="E35" s="405" t="inlineStr">
        <is>
          <t>M-2</t>
        </is>
      </c>
      <c r="F35" s="405" t="n">
        <v>1</v>
      </c>
      <c r="G35" s="405" t="n"/>
      <c r="H35" s="407" t="inlineStr">
        <is>
          <t>False</t>
        </is>
      </c>
      <c r="I35" s="292">
        <f>'4 | Calculation'!O$9</f>
        <v/>
      </c>
      <c r="J35" s="407" t="inlineStr">
        <is>
          <t>m2</t>
        </is>
      </c>
      <c r="K35" s="513">
        <f>L35/I35</f>
        <v/>
      </c>
      <c r="L35" s="515">
        <f>'4 | Calculation'!M304</f>
        <v/>
      </c>
      <c r="M35" s="405" t="n"/>
    </row>
    <row r="36">
      <c r="B36" s="405" t="inlineStr">
        <is>
          <t>FIRE SAFETY</t>
        </is>
      </c>
      <c r="C36" s="407" t="inlineStr">
        <is>
          <t>RF</t>
        </is>
      </c>
      <c r="D36" s="407" t="inlineStr">
        <is>
          <t>3,39d</t>
        </is>
      </c>
      <c r="E36" s="405" t="inlineStr">
        <is>
          <t>M-2</t>
        </is>
      </c>
      <c r="F36" s="405" t="n">
        <v>1</v>
      </c>
      <c r="G36" s="405" t="n"/>
      <c r="H36" s="407" t="inlineStr">
        <is>
          <t>False</t>
        </is>
      </c>
      <c r="I36" s="292">
        <f>'4 | Calculation'!O$9</f>
        <v/>
      </c>
      <c r="J36" s="407" t="inlineStr">
        <is>
          <t>m2</t>
        </is>
      </c>
      <c r="K36" s="513">
        <f>L36/I36</f>
        <v/>
      </c>
      <c r="L36" s="515">
        <f>'4 | Calculation'!G304-'4 | Calculation'!M304</f>
        <v/>
      </c>
      <c r="M36" s="405" t="n"/>
    </row>
    <row r="37">
      <c r="A37" s="101" t="inlineStr">
        <is>
          <t>FITTINGS &amp; FIXED FITTINGS</t>
        </is>
      </c>
      <c r="B37" s="405" t="inlineStr">
        <is>
          <t>CARPETED FLOORING</t>
        </is>
      </c>
      <c r="C37" s="407" t="inlineStr">
        <is>
          <t xml:space="preserve">PRM </t>
        </is>
      </c>
      <c r="D37" s="407" t="inlineStr">
        <is>
          <t>3,28b</t>
        </is>
      </c>
      <c r="E37" s="405" t="inlineStr">
        <is>
          <t>J-10</t>
        </is>
      </c>
      <c r="F37" s="405" t="n">
        <v>1</v>
      </c>
      <c r="G37" s="405" t="n"/>
      <c r="H37" s="407" t="inlineStr">
        <is>
          <t>False</t>
        </is>
      </c>
      <c r="I37" s="292">
        <f>'4 | Calculation'!E312</f>
        <v/>
      </c>
      <c r="J37" s="407" t="inlineStr">
        <is>
          <t>m2</t>
        </is>
      </c>
      <c r="K37" s="513">
        <f>L37/I37</f>
        <v/>
      </c>
      <c r="L37" s="515">
        <f>SUM('4 | Calculation'!M310:M313)</f>
        <v/>
      </c>
      <c r="M37" s="405" t="n"/>
    </row>
    <row r="38">
      <c r="A38" s="38" t="n"/>
      <c r="B38" s="405" t="inlineStr">
        <is>
          <t>CARPETED FLOORING</t>
        </is>
      </c>
      <c r="C38" s="407" t="inlineStr">
        <is>
          <t>RF</t>
        </is>
      </c>
      <c r="D38" s="407" t="inlineStr">
        <is>
          <t>3,28b</t>
        </is>
      </c>
      <c r="E38" s="405" t="inlineStr">
        <is>
          <t>J-10</t>
        </is>
      </c>
      <c r="F38" s="405" t="n">
        <v>1</v>
      </c>
      <c r="G38" s="405" t="n"/>
      <c r="H38" s="407" t="inlineStr">
        <is>
          <t>False</t>
        </is>
      </c>
      <c r="I38" s="292">
        <f>'4 | Calculation'!E312</f>
        <v/>
      </c>
      <c r="J38" s="407" t="inlineStr">
        <is>
          <t>m2</t>
        </is>
      </c>
      <c r="K38" s="513">
        <f>L38/I38</f>
        <v/>
      </c>
      <c r="L38" s="515">
        <f>SUM('4 | Calculation'!G310:G313)-SUM('4 | Calculation'!M310:M313)</f>
        <v/>
      </c>
      <c r="M38" s="405" t="n"/>
    </row>
    <row r="39">
      <c r="B39" s="405" t="inlineStr">
        <is>
          <t>PVC FLOORING</t>
        </is>
      </c>
      <c r="C39" s="407" t="inlineStr">
        <is>
          <t xml:space="preserve">PRM </t>
        </is>
      </c>
      <c r="D39" s="407" t="inlineStr">
        <is>
          <t>3,28b</t>
        </is>
      </c>
      <c r="E39" s="405" t="inlineStr">
        <is>
          <t>J-11</t>
        </is>
      </c>
      <c r="F39" s="405" t="n">
        <v>1</v>
      </c>
      <c r="G39" s="405" t="n"/>
      <c r="H39" s="407" t="inlineStr">
        <is>
          <t>False</t>
        </is>
      </c>
      <c r="I39" s="292">
        <f>'4 | Calculation'!E318</f>
        <v/>
      </c>
      <c r="J39" s="407" t="inlineStr">
        <is>
          <t>m2</t>
        </is>
      </c>
      <c r="K39" s="405">
        <f>L39/I39</f>
        <v/>
      </c>
      <c r="L39" s="515">
        <f>SUM('4 | Calculation'!M316:M319)</f>
        <v/>
      </c>
      <c r="M39" s="405" t="n"/>
    </row>
    <row r="40">
      <c r="B40" s="405" t="inlineStr">
        <is>
          <t>PVC FLOORING</t>
        </is>
      </c>
      <c r="C40" s="407" t="inlineStr">
        <is>
          <t>RF</t>
        </is>
      </c>
      <c r="D40" s="407" t="inlineStr">
        <is>
          <t>3,28b</t>
        </is>
      </c>
      <c r="E40" s="405" t="inlineStr">
        <is>
          <t>J-11</t>
        </is>
      </c>
      <c r="F40" s="405" t="n">
        <v>1</v>
      </c>
      <c r="G40" s="405" t="n"/>
      <c r="H40" s="407" t="inlineStr">
        <is>
          <t>False</t>
        </is>
      </c>
      <c r="I40" s="292">
        <f>'4 | Calculation'!E318</f>
        <v/>
      </c>
      <c r="J40" s="407" t="inlineStr">
        <is>
          <t>m2</t>
        </is>
      </c>
      <c r="K40" s="513">
        <f>L40/I40</f>
        <v/>
      </c>
      <c r="L40" s="515">
        <f>SUM('4 | Calculation'!G316:G319)-SUM('4 | Calculation'!M316:M319)</f>
        <v/>
      </c>
      <c r="M40" s="405" t="n"/>
    </row>
    <row r="41">
      <c r="B41" s="405" t="inlineStr">
        <is>
          <t>WOODEN FLOORING</t>
        </is>
      </c>
      <c r="C41" s="407" t="inlineStr">
        <is>
          <t xml:space="preserve">PRM </t>
        </is>
      </c>
      <c r="D41" s="407" t="inlineStr">
        <is>
          <t>3,28b</t>
        </is>
      </c>
      <c r="E41" s="405" t="inlineStr">
        <is>
          <t>J-12</t>
        </is>
      </c>
      <c r="F41" s="405" t="n">
        <v>1</v>
      </c>
      <c r="G41" s="405" t="n"/>
      <c r="H41" s="407" t="inlineStr">
        <is>
          <t>False</t>
        </is>
      </c>
      <c r="I41" s="292">
        <f>'4 | Calculation'!E325</f>
        <v/>
      </c>
      <c r="J41" s="407" t="inlineStr">
        <is>
          <t>m2</t>
        </is>
      </c>
      <c r="K41" s="513">
        <f>L41/I41</f>
        <v/>
      </c>
      <c r="L41" s="515">
        <f>SUM('4 | Calculation'!M322:M326)</f>
        <v/>
      </c>
      <c r="M41" s="405" t="n"/>
    </row>
    <row r="42">
      <c r="B42" s="405" t="inlineStr">
        <is>
          <t>WOODEN FLOORING</t>
        </is>
      </c>
      <c r="C42" s="407" t="inlineStr">
        <is>
          <t>RF</t>
        </is>
      </c>
      <c r="D42" s="407" t="inlineStr">
        <is>
          <t>3,28b</t>
        </is>
      </c>
      <c r="E42" s="405" t="inlineStr">
        <is>
          <t>J-12</t>
        </is>
      </c>
      <c r="F42" s="405" t="n">
        <v>1</v>
      </c>
      <c r="G42" s="405" t="n"/>
      <c r="H42" s="407" t="inlineStr">
        <is>
          <t>False</t>
        </is>
      </c>
      <c r="I42" s="292">
        <f>'4 | Calculation'!E325</f>
        <v/>
      </c>
      <c r="J42" s="407" t="inlineStr">
        <is>
          <t>m2</t>
        </is>
      </c>
      <c r="K42" s="513">
        <f>L42/I42</f>
        <v/>
      </c>
      <c r="L42" s="515">
        <f>SUM('4 | Calculation'!G322:G326)-SUM('4 | Calculation'!M322:M326)</f>
        <v/>
      </c>
      <c r="M42" s="405" t="n"/>
    </row>
    <row r="43">
      <c r="B43" s="405" t="inlineStr">
        <is>
          <t>OTHER FLOOR FINISHES</t>
        </is>
      </c>
      <c r="C43" s="407" t="inlineStr">
        <is>
          <t xml:space="preserve">PRM </t>
        </is>
      </c>
      <c r="D43" s="407" t="inlineStr">
        <is>
          <t>3,28b</t>
        </is>
      </c>
      <c r="E43" s="405" t="inlineStr">
        <is>
          <t>J-13</t>
        </is>
      </c>
      <c r="F43" s="405" t="n">
        <v>1</v>
      </c>
      <c r="G43" s="405" t="n"/>
      <c r="H43" s="407" t="inlineStr">
        <is>
          <t>False</t>
        </is>
      </c>
      <c r="I43" s="292">
        <f>'4 | Calculation'!E331</f>
        <v/>
      </c>
      <c r="J43" s="407" t="inlineStr">
        <is>
          <t>m2</t>
        </is>
      </c>
      <c r="K43" s="513">
        <f>L43/I43</f>
        <v/>
      </c>
      <c r="L43" s="515">
        <f>SUM('4 | Calculation'!M322:M326)</f>
        <v/>
      </c>
      <c r="M43" s="405" t="n"/>
    </row>
    <row r="44">
      <c r="B44" s="405" t="inlineStr">
        <is>
          <t>OTHER FLOOR FINISHES</t>
        </is>
      </c>
      <c r="C44" s="407" t="inlineStr">
        <is>
          <t>RF</t>
        </is>
      </c>
      <c r="D44" s="407" t="inlineStr">
        <is>
          <t>3,28b</t>
        </is>
      </c>
      <c r="E44" s="405" t="inlineStr">
        <is>
          <t>J-13</t>
        </is>
      </c>
      <c r="F44" s="405" t="n">
        <v>1</v>
      </c>
      <c r="G44" s="405" t="n"/>
      <c r="H44" s="407" t="inlineStr">
        <is>
          <t>False</t>
        </is>
      </c>
      <c r="I44" s="292">
        <f>'4 | Calculation'!E331</f>
        <v/>
      </c>
      <c r="J44" s="407" t="inlineStr">
        <is>
          <t>m2</t>
        </is>
      </c>
      <c r="K44" s="513">
        <f>L44/I44</f>
        <v/>
      </c>
      <c r="L44" s="515">
        <f>SUM('4 | Calculation'!G322:G326)-SUM('4 | Calculation'!M329:M332)</f>
        <v/>
      </c>
      <c r="M44" s="405" t="n"/>
    </row>
    <row r="45">
      <c r="B45" s="405" t="inlineStr">
        <is>
          <t>MS WALLS</t>
        </is>
      </c>
      <c r="C45" s="407" t="inlineStr">
        <is>
          <t xml:space="preserve">PRM </t>
        </is>
      </c>
      <c r="D45" s="407" t="inlineStr">
        <is>
          <t>3,20a</t>
        </is>
      </c>
      <c r="E45" s="405" t="inlineStr">
        <is>
          <t>J-2</t>
        </is>
      </c>
      <c r="F45" s="405" t="n">
        <v>1</v>
      </c>
      <c r="G45" s="405" t="n"/>
      <c r="H45" s="407" t="inlineStr">
        <is>
          <t>False</t>
        </is>
      </c>
      <c r="I45" s="292">
        <f>'4 | Calculation'!E344</f>
        <v/>
      </c>
      <c r="J45" s="407" t="inlineStr">
        <is>
          <t>m2</t>
        </is>
      </c>
      <c r="K45" s="513">
        <f>L45/I45</f>
        <v/>
      </c>
      <c r="L45" s="515">
        <f>SUM('4 | Calculation'!M344:M347)</f>
        <v/>
      </c>
      <c r="M45" s="405" t="n"/>
    </row>
    <row r="46">
      <c r="B46" s="405" t="inlineStr">
        <is>
          <t>MS WALLS</t>
        </is>
      </c>
      <c r="C46" s="407" t="inlineStr">
        <is>
          <t>RF</t>
        </is>
      </c>
      <c r="D46" s="407" t="inlineStr">
        <is>
          <t>3,20a</t>
        </is>
      </c>
      <c r="E46" s="405" t="inlineStr">
        <is>
          <t>J-2</t>
        </is>
      </c>
      <c r="F46" s="405" t="n">
        <v>1</v>
      </c>
      <c r="G46" s="405" t="n"/>
      <c r="H46" s="407" t="inlineStr">
        <is>
          <t>False</t>
        </is>
      </c>
      <c r="I46" s="292">
        <f>'4 | Calculation'!E344</f>
        <v/>
      </c>
      <c r="J46" s="407" t="inlineStr">
        <is>
          <t>m2</t>
        </is>
      </c>
      <c r="K46" s="513">
        <f>L46/I46</f>
        <v/>
      </c>
      <c r="L46" s="515">
        <f>SUM('4 | Calculation'!G344:G347)-SUM('4 | Calculation'!M344:M347)</f>
        <v/>
      </c>
      <c r="M46" s="405" t="n"/>
    </row>
    <row r="47">
      <c r="B47" s="405" t="inlineStr">
        <is>
          <t>MODULAR WALLS</t>
        </is>
      </c>
      <c r="C47" s="407" t="inlineStr">
        <is>
          <t xml:space="preserve">PRM </t>
        </is>
      </c>
      <c r="D47" s="407" t="inlineStr">
        <is>
          <t>3,20a</t>
        </is>
      </c>
      <c r="E47" s="405" t="inlineStr">
        <is>
          <t>J-3</t>
        </is>
      </c>
      <c r="F47" s="405" t="n">
        <v>1</v>
      </c>
      <c r="G47" s="405" t="n"/>
      <c r="H47" s="407" t="inlineStr">
        <is>
          <t>False</t>
        </is>
      </c>
      <c r="I47" s="292">
        <f>SUM('4 | Calculation'!E356:E358)</f>
        <v/>
      </c>
      <c r="J47" s="407" t="inlineStr">
        <is>
          <t>m2</t>
        </is>
      </c>
      <c r="K47" s="513">
        <f>L47/I47</f>
        <v/>
      </c>
      <c r="L47" s="515">
        <f>SUM('4 | Calculation'!M356:M361)</f>
        <v/>
      </c>
      <c r="M47" s="405" t="n"/>
    </row>
    <row r="48">
      <c r="B48" s="405" t="inlineStr">
        <is>
          <t>MODULAR WALLS</t>
        </is>
      </c>
      <c r="C48" s="407" t="inlineStr">
        <is>
          <t>RF</t>
        </is>
      </c>
      <c r="D48" s="407" t="inlineStr">
        <is>
          <t>3,20a</t>
        </is>
      </c>
      <c r="E48" s="405" t="inlineStr">
        <is>
          <t>J-3</t>
        </is>
      </c>
      <c r="F48" s="405" t="n">
        <v>1</v>
      </c>
      <c r="G48" s="405" t="n"/>
      <c r="H48" s="407" t="inlineStr">
        <is>
          <t>False</t>
        </is>
      </c>
      <c r="I48" s="292">
        <f>SUM('4 | Calculation'!E356:E358)</f>
        <v/>
      </c>
      <c r="J48" s="407" t="inlineStr">
        <is>
          <t>m2</t>
        </is>
      </c>
      <c r="K48" s="513">
        <f>L48/I48</f>
        <v/>
      </c>
      <c r="L48" s="515">
        <f>SUM('4 | Calculation'!G356:G361)-SUM('4 | Calculation'!M356:M361)</f>
        <v/>
      </c>
      <c r="M48" s="405" t="n"/>
    </row>
    <row r="49">
      <c r="B49" s="405" t="inlineStr">
        <is>
          <t>OTHER WALLS</t>
        </is>
      </c>
      <c r="C49" s="407" t="inlineStr">
        <is>
          <t xml:space="preserve">PRM </t>
        </is>
      </c>
      <c r="D49" s="407" t="inlineStr">
        <is>
          <t>3,20a</t>
        </is>
      </c>
      <c r="E49" s="405" t="inlineStr">
        <is>
          <t>J-4</t>
        </is>
      </c>
      <c r="F49" s="405" t="n">
        <v>1</v>
      </c>
      <c r="G49" s="405" t="n"/>
      <c r="H49" s="407" t="inlineStr">
        <is>
          <t>False</t>
        </is>
      </c>
      <c r="I49" s="292">
        <f>'4 | Calculation'!E370</f>
        <v/>
      </c>
      <c r="J49" s="407" t="inlineStr">
        <is>
          <t>m2</t>
        </is>
      </c>
      <c r="K49" s="513">
        <f>L49/I49</f>
        <v/>
      </c>
      <c r="L49" s="515">
        <f>SUM('4 | Calculation'!M370:M371)</f>
        <v/>
      </c>
      <c r="M49" s="405" t="n"/>
    </row>
    <row r="50">
      <c r="B50" s="405" t="inlineStr">
        <is>
          <t>OTHER WALLS</t>
        </is>
      </c>
      <c r="C50" s="407" t="inlineStr">
        <is>
          <t>RF</t>
        </is>
      </c>
      <c r="D50" s="407" t="inlineStr">
        <is>
          <t>3,20a</t>
        </is>
      </c>
      <c r="E50" s="405" t="inlineStr">
        <is>
          <t>J-4</t>
        </is>
      </c>
      <c r="F50" s="405" t="n">
        <v>1</v>
      </c>
      <c r="G50" s="405" t="n"/>
      <c r="H50" s="407" t="inlineStr">
        <is>
          <t>False</t>
        </is>
      </c>
      <c r="I50" s="292">
        <f>'4 | Calculation'!E370</f>
        <v/>
      </c>
      <c r="J50" s="407" t="inlineStr">
        <is>
          <t>m2</t>
        </is>
      </c>
      <c r="K50" s="513">
        <f>L50/I50</f>
        <v/>
      </c>
      <c r="L50" s="515">
        <f>SUM('4 | Calculation'!G370:G371)-SUM('4 | Calculation'!M370:M371)</f>
        <v/>
      </c>
      <c r="M50" s="405" t="n"/>
    </row>
    <row r="51">
      <c r="B51" s="405" t="inlineStr">
        <is>
          <t>PAINTING</t>
        </is>
      </c>
      <c r="C51" s="407" t="inlineStr">
        <is>
          <t xml:space="preserve">PRM </t>
        </is>
      </c>
      <c r="D51" s="407" t="inlineStr">
        <is>
          <t>3,29</t>
        </is>
      </c>
      <c r="E51" s="405" t="inlineStr">
        <is>
          <t>J-19</t>
        </is>
      </c>
      <c r="F51" s="405" t="n">
        <v>1</v>
      </c>
      <c r="G51" s="405" t="n"/>
      <c r="H51" s="407" t="inlineStr">
        <is>
          <t>False</t>
        </is>
      </c>
      <c r="I51" s="292">
        <f>'4 | Calculation'!E376</f>
        <v/>
      </c>
      <c r="J51" s="407" t="inlineStr">
        <is>
          <t>m2</t>
        </is>
      </c>
      <c r="K51" s="513">
        <f>L51/I51</f>
        <v/>
      </c>
      <c r="L51" s="515">
        <f>'4 | Calculation'!M376</f>
        <v/>
      </c>
      <c r="M51" s="405" t="n"/>
    </row>
    <row r="52">
      <c r="B52" s="405" t="inlineStr">
        <is>
          <t>PAINTING</t>
        </is>
      </c>
      <c r="C52" s="407" t="inlineStr">
        <is>
          <t>RF</t>
        </is>
      </c>
      <c r="D52" s="407" t="inlineStr">
        <is>
          <t>3,29</t>
        </is>
      </c>
      <c r="E52" s="405" t="inlineStr">
        <is>
          <t>J-19</t>
        </is>
      </c>
      <c r="F52" s="405" t="n">
        <v>1</v>
      </c>
      <c r="G52" s="405" t="n"/>
      <c r="H52" s="407" t="inlineStr">
        <is>
          <t>False</t>
        </is>
      </c>
      <c r="I52" s="292">
        <f>'4 | Calculation'!E376</f>
        <v/>
      </c>
      <c r="J52" s="407" t="inlineStr">
        <is>
          <t>m2</t>
        </is>
      </c>
      <c r="K52" s="513">
        <f>L52/I52</f>
        <v/>
      </c>
      <c r="L52" s="515">
        <f>'4 | Calculation'!G376-'4 | Calculation'!M376</f>
        <v/>
      </c>
      <c r="M52" s="405" t="n"/>
    </row>
    <row r="53">
      <c r="B53" s="405" t="inlineStr">
        <is>
          <t>WALL REPAIRS</t>
        </is>
      </c>
      <c r="C53" s="407" t="inlineStr">
        <is>
          <t xml:space="preserve">PRM </t>
        </is>
      </c>
      <c r="D53" s="407" t="inlineStr">
        <is>
          <t>3,29</t>
        </is>
      </c>
      <c r="E53" s="405" t="inlineStr">
        <is>
          <t>G-5</t>
        </is>
      </c>
      <c r="F53" s="405" t="n">
        <v>1</v>
      </c>
      <c r="G53" s="405" t="n"/>
      <c r="H53" s="407" t="inlineStr">
        <is>
          <t>False</t>
        </is>
      </c>
      <c r="I53" s="292">
        <f>'4 | Calculation'!E377</f>
        <v/>
      </c>
      <c r="J53" s="407" t="inlineStr">
        <is>
          <t>m2</t>
        </is>
      </c>
      <c r="K53" s="513">
        <f>L53/I53</f>
        <v/>
      </c>
      <c r="L53" s="515">
        <f>'4 | Calculation'!M377</f>
        <v/>
      </c>
      <c r="M53" s="405" t="n"/>
    </row>
    <row r="54">
      <c r="B54" s="405" t="inlineStr">
        <is>
          <t>WALL REPAIRS</t>
        </is>
      </c>
      <c r="C54" s="407" t="inlineStr">
        <is>
          <t>RF</t>
        </is>
      </c>
      <c r="D54" s="407" t="inlineStr">
        <is>
          <t>3,29</t>
        </is>
      </c>
      <c r="E54" s="405" t="inlineStr">
        <is>
          <t>G-5</t>
        </is>
      </c>
      <c r="F54" s="405" t="n">
        <v>1</v>
      </c>
      <c r="G54" s="405" t="n"/>
      <c r="H54" s="407" t="inlineStr">
        <is>
          <t>False</t>
        </is>
      </c>
      <c r="I54" s="292">
        <f>'4 | Calculation'!E377</f>
        <v/>
      </c>
      <c r="J54" s="407" t="inlineStr">
        <is>
          <t>m2</t>
        </is>
      </c>
      <c r="K54" s="513">
        <f>L54/I54</f>
        <v/>
      </c>
      <c r="L54" s="515">
        <f>'4 | Calculation'!G377-'4 | Calculation'!M377</f>
        <v/>
      </c>
      <c r="M54" s="405" t="n"/>
    </row>
    <row r="55">
      <c r="B55" s="405" t="inlineStr">
        <is>
          <t>WALLPAPER</t>
        </is>
      </c>
      <c r="C55" s="407" t="inlineStr">
        <is>
          <t xml:space="preserve">PRM </t>
        </is>
      </c>
      <c r="D55" s="407" t="inlineStr">
        <is>
          <t>3,29</t>
        </is>
      </c>
      <c r="E55" s="405" t="inlineStr">
        <is>
          <t>J-16</t>
        </is>
      </c>
      <c r="F55" s="405" t="n">
        <v>1</v>
      </c>
      <c r="G55" s="405" t="n"/>
      <c r="H55" s="407" t="inlineStr">
        <is>
          <t>False</t>
        </is>
      </c>
      <c r="I55" s="292">
        <f>'4 | Calculation'!E378</f>
        <v/>
      </c>
      <c r="J55" s="407" t="inlineStr">
        <is>
          <t>m2</t>
        </is>
      </c>
      <c r="K55" s="513">
        <f>L55/I55</f>
        <v/>
      </c>
      <c r="L55" s="515">
        <f>'4 | Calculation'!M378</f>
        <v/>
      </c>
      <c r="M55" s="405" t="n"/>
    </row>
    <row r="56">
      <c r="B56" s="405" t="inlineStr">
        <is>
          <t>WALLPAPER</t>
        </is>
      </c>
      <c r="C56" s="407" t="inlineStr">
        <is>
          <t>RF</t>
        </is>
      </c>
      <c r="D56" s="407" t="inlineStr">
        <is>
          <t>3,29</t>
        </is>
      </c>
      <c r="E56" s="405" t="inlineStr">
        <is>
          <t>J-16</t>
        </is>
      </c>
      <c r="F56" s="405" t="n">
        <v>1</v>
      </c>
      <c r="G56" s="405" t="n"/>
      <c r="H56" s="407" t="inlineStr">
        <is>
          <t>False</t>
        </is>
      </c>
      <c r="I56" s="292">
        <f>'4 | Calculation'!E378</f>
        <v/>
      </c>
      <c r="J56" s="407" t="inlineStr">
        <is>
          <t>m2</t>
        </is>
      </c>
      <c r="K56" s="513">
        <f>L56/I56</f>
        <v/>
      </c>
      <c r="L56" s="515">
        <f>'4 | Calculation'!G378-'4 | Calculation'!M378</f>
        <v/>
      </c>
      <c r="M56" s="405" t="n"/>
    </row>
    <row r="57">
      <c r="B57" s="405" t="inlineStr">
        <is>
          <t>ACOUSTIC FINISHES</t>
        </is>
      </c>
      <c r="C57" s="407" t="inlineStr">
        <is>
          <t xml:space="preserve">PRM </t>
        </is>
      </c>
      <c r="D57" s="407" t="inlineStr">
        <is>
          <t>3,29</t>
        </is>
      </c>
      <c r="E57" s="405" t="inlineStr">
        <is>
          <t>J-18</t>
        </is>
      </c>
      <c r="F57" s="405" t="n">
        <v>1</v>
      </c>
      <c r="G57" s="405" t="n"/>
      <c r="H57" s="407" t="inlineStr">
        <is>
          <t>False</t>
        </is>
      </c>
      <c r="I57" s="292">
        <f>'4 | Calculation'!E379</f>
        <v/>
      </c>
      <c r="J57" s="407" t="inlineStr">
        <is>
          <t>m2</t>
        </is>
      </c>
      <c r="K57" s="513">
        <f>L57/I57</f>
        <v/>
      </c>
      <c r="L57" s="515">
        <f>'4 | Calculation'!M379</f>
        <v/>
      </c>
      <c r="M57" s="405" t="n"/>
    </row>
    <row r="58" ht="13.5" customHeight="1" thickBot="1">
      <c r="B58" s="296" t="inlineStr">
        <is>
          <t>ACOUSTIC FINISHES</t>
        </is>
      </c>
      <c r="C58" s="297" t="inlineStr">
        <is>
          <t>RF</t>
        </is>
      </c>
      <c r="D58" s="407" t="inlineStr">
        <is>
          <t>3,29</t>
        </is>
      </c>
      <c r="E58" s="296" t="inlineStr">
        <is>
          <t>J-18</t>
        </is>
      </c>
      <c r="F58" s="296" t="n">
        <v>1</v>
      </c>
      <c r="G58" s="296" t="n"/>
      <c r="H58" s="297" t="inlineStr">
        <is>
          <t>False</t>
        </is>
      </c>
      <c r="I58" s="298">
        <f>'4 | Calculation'!E379</f>
        <v/>
      </c>
      <c r="J58" s="297" t="inlineStr">
        <is>
          <t>m2</t>
        </is>
      </c>
      <c r="K58" s="513">
        <f>L58/I58</f>
        <v/>
      </c>
      <c r="L58" s="515">
        <f>'4 | Calculation'!G379-'4 | Calculation'!M379</f>
        <v/>
      </c>
      <c r="M58" s="296" t="n"/>
    </row>
    <row r="59">
      <c r="B59" s="299" t="inlineStr">
        <is>
          <t>MODIFYING SUSPENDED CEILINGS</t>
        </is>
      </c>
      <c r="C59" s="300" t="inlineStr">
        <is>
          <t xml:space="preserve">PRM </t>
        </is>
      </c>
      <c r="D59" s="301" t="inlineStr">
        <is>
          <t>3,30</t>
        </is>
      </c>
      <c r="E59" s="302" t="inlineStr">
        <is>
          <t>incl.</t>
        </is>
      </c>
      <c r="F59" s="302" t="n">
        <v>1</v>
      </c>
      <c r="G59" s="302" t="n"/>
      <c r="H59" s="300" t="inlineStr">
        <is>
          <t>False</t>
        </is>
      </c>
      <c r="I59" s="303">
        <f>'4 | Calculation'!E390</f>
        <v/>
      </c>
      <c r="J59" s="300" t="inlineStr">
        <is>
          <t>m2</t>
        </is>
      </c>
      <c r="K59" s="516">
        <f>L59/I59</f>
        <v/>
      </c>
      <c r="L59" s="517">
        <f>'4 | Calculation'!M390</f>
        <v/>
      </c>
      <c r="M59" s="306" t="inlineStr">
        <is>
          <t>Bedrag toevoegen aan plafondafwerking waar het betrekking op heeft</t>
        </is>
      </c>
    </row>
    <row r="60">
      <c r="B60" s="307" t="inlineStr">
        <is>
          <t>MODIFYING SUSPENDED CEILINGS</t>
        </is>
      </c>
      <c r="C60" s="407" t="inlineStr">
        <is>
          <t xml:space="preserve">PRM </t>
        </is>
      </c>
      <c r="D60" s="308" t="inlineStr">
        <is>
          <t>3,30</t>
        </is>
      </c>
      <c r="E60" s="405" t="inlineStr">
        <is>
          <t>incl.</t>
        </is>
      </c>
      <c r="F60" s="405" t="n">
        <v>1</v>
      </c>
      <c r="G60" s="405" t="n"/>
      <c r="H60" s="407" t="inlineStr">
        <is>
          <t>False</t>
        </is>
      </c>
      <c r="I60" s="292">
        <f>'4 | Calculation'!E390</f>
        <v/>
      </c>
      <c r="J60" s="407" t="inlineStr">
        <is>
          <t>m2</t>
        </is>
      </c>
      <c r="K60" s="518">
        <f>L60/I60</f>
        <v/>
      </c>
      <c r="L60" s="515">
        <f>'4 | Calculation'!G390-'4 | Calculation'!M390</f>
        <v/>
      </c>
      <c r="M60" s="310" t="inlineStr">
        <is>
          <t>Bedrag toevoegen aan plafondafwerking waar het betrekking op heeft</t>
        </is>
      </c>
    </row>
    <row r="61">
      <c r="B61" s="307" t="inlineStr">
        <is>
          <t>OPENING AND CLOSING SYSTEM CEILING</t>
        </is>
      </c>
      <c r="C61" s="407" t="inlineStr">
        <is>
          <t>RF</t>
        </is>
      </c>
      <c r="D61" s="308" t="inlineStr">
        <is>
          <t>3,30</t>
        </is>
      </c>
      <c r="E61" s="405" t="inlineStr">
        <is>
          <t>incl.</t>
        </is>
      </c>
      <c r="F61" s="405" t="n">
        <v>1</v>
      </c>
      <c r="G61" s="405" t="n"/>
      <c r="H61" s="407" t="inlineStr">
        <is>
          <t>False</t>
        </is>
      </c>
      <c r="I61" s="292">
        <f>'4 | Calculation'!E391</f>
        <v/>
      </c>
      <c r="J61" s="407" t="inlineStr">
        <is>
          <t>m2</t>
        </is>
      </c>
      <c r="K61" s="518">
        <f>L61/I61</f>
        <v/>
      </c>
      <c r="L61" s="515">
        <f>'4 | Calculation'!M391</f>
        <v/>
      </c>
      <c r="M61" s="310" t="inlineStr">
        <is>
          <t>Bedrag toevoegen aan plafondafwerking waar het betrekking op heeft</t>
        </is>
      </c>
    </row>
    <row r="62">
      <c r="B62" s="307" t="inlineStr">
        <is>
          <t>OPENING AND CLOSING SYSTEM CEILING</t>
        </is>
      </c>
      <c r="C62" s="407" t="inlineStr">
        <is>
          <t xml:space="preserve">PRM </t>
        </is>
      </c>
      <c r="D62" s="308" t="inlineStr">
        <is>
          <t>3,30</t>
        </is>
      </c>
      <c r="E62" s="405" t="inlineStr">
        <is>
          <t>incl.</t>
        </is>
      </c>
      <c r="F62" s="405" t="n">
        <v>1</v>
      </c>
      <c r="G62" s="405" t="n"/>
      <c r="H62" s="407" t="inlineStr">
        <is>
          <t>False</t>
        </is>
      </c>
      <c r="I62" s="292">
        <f>'4 | Calculation'!E391</f>
        <v/>
      </c>
      <c r="J62" s="407" t="inlineStr">
        <is>
          <t>m2</t>
        </is>
      </c>
      <c r="K62" s="518">
        <f>L62/I62</f>
        <v/>
      </c>
      <c r="L62" s="515">
        <f>'4 | Calculation'!G391-'4 | Calculation'!M391</f>
        <v/>
      </c>
      <c r="M62" s="310" t="inlineStr">
        <is>
          <t>Bedrag toevoegen aan plafondafwerking waar het betrekking op heeft</t>
        </is>
      </c>
    </row>
    <row r="63">
      <c r="B63" s="307" t="inlineStr">
        <is>
          <t>REPLACING DAMAGED CEILING PANELS</t>
        </is>
      </c>
      <c r="C63" s="407" t="inlineStr">
        <is>
          <t>RF</t>
        </is>
      </c>
      <c r="D63" s="308" t="inlineStr">
        <is>
          <t>3,30</t>
        </is>
      </c>
      <c r="E63" s="405" t="inlineStr">
        <is>
          <t>incl.</t>
        </is>
      </c>
      <c r="F63" s="405" t="n">
        <v>1</v>
      </c>
      <c r="G63" s="405" t="n"/>
      <c r="H63" s="407" t="inlineStr">
        <is>
          <t>False</t>
        </is>
      </c>
      <c r="I63" s="292">
        <f>'4 | Calculation'!E392</f>
        <v/>
      </c>
      <c r="J63" s="407" t="inlineStr">
        <is>
          <t>m2</t>
        </is>
      </c>
      <c r="K63" s="518">
        <f>L63/I63</f>
        <v/>
      </c>
      <c r="L63" s="515">
        <f>'4 | Calculation'!M392</f>
        <v/>
      </c>
      <c r="M63" s="310" t="inlineStr">
        <is>
          <t>Bedrag toevoegen aan plafondafwerking waar het betrekking op heeft</t>
        </is>
      </c>
    </row>
    <row r="64">
      <c r="B64" s="307" t="inlineStr">
        <is>
          <t>REPLACING DAMAGED CEILING PANELS</t>
        </is>
      </c>
      <c r="C64" s="407" t="inlineStr">
        <is>
          <t xml:space="preserve">PRM </t>
        </is>
      </c>
      <c r="D64" s="308" t="inlineStr">
        <is>
          <t>3,30</t>
        </is>
      </c>
      <c r="E64" s="405" t="inlineStr">
        <is>
          <t>incl.</t>
        </is>
      </c>
      <c r="F64" s="405" t="n">
        <v>1</v>
      </c>
      <c r="G64" s="405" t="n"/>
      <c r="H64" s="407" t="inlineStr">
        <is>
          <t>False</t>
        </is>
      </c>
      <c r="I64" s="292">
        <f>'4 | Calculation'!E392</f>
        <v/>
      </c>
      <c r="J64" s="407" t="inlineStr">
        <is>
          <t>m2</t>
        </is>
      </c>
      <c r="K64" s="518">
        <f>L64/I64</f>
        <v/>
      </c>
      <c r="L64" s="515">
        <f>'4 | Calculation'!G392-'4 | Calculation'!M392</f>
        <v/>
      </c>
      <c r="M64" s="310" t="inlineStr">
        <is>
          <t>Bedrag toevoegen aan plafondafwerking waar het betrekking op heeft</t>
        </is>
      </c>
    </row>
    <row r="65">
      <c r="B65" s="307" t="inlineStr">
        <is>
          <t>STRUCTURAL TIMBER ABOVE CEILING</t>
        </is>
      </c>
      <c r="C65" s="407" t="inlineStr">
        <is>
          <t>RF</t>
        </is>
      </c>
      <c r="D65" s="308" t="inlineStr">
        <is>
          <t>3,30</t>
        </is>
      </c>
      <c r="E65" s="405" t="inlineStr">
        <is>
          <t>incl.</t>
        </is>
      </c>
      <c r="F65" s="405" t="n">
        <v>1</v>
      </c>
      <c r="G65" s="405" t="n"/>
      <c r="H65" s="407" t="inlineStr">
        <is>
          <t>False</t>
        </is>
      </c>
      <c r="I65" s="292">
        <f>'4 | Calculation'!E393</f>
        <v/>
      </c>
      <c r="J65" s="407" t="inlineStr">
        <is>
          <t>m2</t>
        </is>
      </c>
      <c r="K65" s="518">
        <f>L65/I65</f>
        <v/>
      </c>
      <c r="L65" s="515">
        <f>'4 | Calculation'!M393</f>
        <v/>
      </c>
      <c r="M65" s="310" t="inlineStr">
        <is>
          <t>Bedrag toevoegen aan plafondafwerking waar het betrekking op heeft</t>
        </is>
      </c>
    </row>
    <row r="66">
      <c r="B66" s="307" t="inlineStr">
        <is>
          <t>STRUCTURAL TIMBER ABOVE CEILING</t>
        </is>
      </c>
      <c r="C66" s="407" t="inlineStr">
        <is>
          <t xml:space="preserve">PRM </t>
        </is>
      </c>
      <c r="D66" s="308" t="inlineStr">
        <is>
          <t>3,30</t>
        </is>
      </c>
      <c r="E66" s="405" t="inlineStr">
        <is>
          <t>incl.</t>
        </is>
      </c>
      <c r="F66" s="405" t="n">
        <v>1</v>
      </c>
      <c r="G66" s="405" t="n"/>
      <c r="H66" s="407" t="inlineStr">
        <is>
          <t>False</t>
        </is>
      </c>
      <c r="I66" s="292">
        <f>'4 | Calculation'!E393</f>
        <v/>
      </c>
      <c r="J66" s="407" t="inlineStr">
        <is>
          <t>m2</t>
        </is>
      </c>
      <c r="K66" s="518">
        <f>L66/I66</f>
        <v/>
      </c>
      <c r="L66" s="515">
        <f>'4 | Calculation'!G393-'4 | Calculation'!M393</f>
        <v/>
      </c>
      <c r="M66" s="310" t="inlineStr">
        <is>
          <t>Bedrag toevoegen aan plafondafwerking waar het betrekking op heeft</t>
        </is>
      </c>
    </row>
    <row r="67">
      <c r="B67" s="307" t="inlineStr">
        <is>
          <t>SPARINGEN IN PLAFOND</t>
        </is>
      </c>
      <c r="C67" s="407" t="inlineStr">
        <is>
          <t>RF</t>
        </is>
      </c>
      <c r="D67" s="308" t="inlineStr">
        <is>
          <t>3,30</t>
        </is>
      </c>
      <c r="E67" s="405" t="inlineStr">
        <is>
          <t>incl.</t>
        </is>
      </c>
      <c r="F67" s="405" t="n">
        <v>1</v>
      </c>
      <c r="G67" s="405" t="n"/>
      <c r="H67" s="407" t="inlineStr">
        <is>
          <t>False</t>
        </is>
      </c>
      <c r="I67" s="292">
        <f>'4 | Calculation'!E394</f>
        <v/>
      </c>
      <c r="J67" s="407" t="inlineStr">
        <is>
          <t>m2</t>
        </is>
      </c>
      <c r="K67" s="518">
        <f>L67/I67</f>
        <v/>
      </c>
      <c r="L67" s="515">
        <f>'4 | Calculation'!M394</f>
        <v/>
      </c>
      <c r="M67" s="310" t="inlineStr">
        <is>
          <t>Bedrag toevoegen aan plafondafwerking waar het betrekking op heeft</t>
        </is>
      </c>
    </row>
    <row r="68">
      <c r="B68" s="307" t="inlineStr">
        <is>
          <t>SPARINGEN IN PLAFOND</t>
        </is>
      </c>
      <c r="C68" s="407" t="inlineStr">
        <is>
          <t xml:space="preserve">PRM </t>
        </is>
      </c>
      <c r="D68" s="308" t="inlineStr">
        <is>
          <t>3,30</t>
        </is>
      </c>
      <c r="E68" s="405" t="inlineStr">
        <is>
          <t>incl.</t>
        </is>
      </c>
      <c r="F68" s="405" t="n">
        <v>1</v>
      </c>
      <c r="G68" s="405" t="n"/>
      <c r="H68" s="407" t="inlineStr">
        <is>
          <t>False</t>
        </is>
      </c>
      <c r="I68" s="292">
        <f>'4 | Calculation'!E394</f>
        <v/>
      </c>
      <c r="J68" s="407" t="inlineStr">
        <is>
          <t>m2</t>
        </is>
      </c>
      <c r="K68" s="518">
        <f>L68/I68</f>
        <v/>
      </c>
      <c r="L68" s="515">
        <f>'4 | Calculation'!G394-'4 | Calculation'!M394</f>
        <v/>
      </c>
      <c r="M68" s="310" t="inlineStr">
        <is>
          <t>Bedrag toevoegen aan plafondafwerking waar het betrekking op heeft</t>
        </is>
      </c>
    </row>
    <row r="69">
      <c r="B69" s="307" t="inlineStr">
        <is>
          <t>SPRAYED CEILING</t>
        </is>
      </c>
      <c r="C69" s="407" t="inlineStr">
        <is>
          <t>RF</t>
        </is>
      </c>
      <c r="D69" s="407" t="inlineStr">
        <is>
          <t>3,30</t>
        </is>
      </c>
      <c r="E69" s="405" t="inlineStr">
        <is>
          <t>J-9</t>
        </is>
      </c>
      <c r="F69" s="405" t="n">
        <v>1</v>
      </c>
      <c r="G69" s="405" t="n"/>
      <c r="H69" s="407" t="inlineStr">
        <is>
          <t>False</t>
        </is>
      </c>
      <c r="I69" s="292">
        <f>'4 | Calculation'!E395</f>
        <v/>
      </c>
      <c r="J69" s="407" t="inlineStr">
        <is>
          <t>m2</t>
        </is>
      </c>
      <c r="K69" s="518">
        <f>L69/I69</f>
        <v/>
      </c>
      <c r="L69" s="515">
        <f>'4 | Calculation'!M395</f>
        <v/>
      </c>
      <c r="M69" s="311" t="n"/>
    </row>
    <row r="70">
      <c r="B70" s="307" t="inlineStr">
        <is>
          <t>SPRAYED CEILING</t>
        </is>
      </c>
      <c r="C70" s="407" t="inlineStr">
        <is>
          <t xml:space="preserve">PRM </t>
        </is>
      </c>
      <c r="D70" s="407" t="inlineStr">
        <is>
          <t>3,30</t>
        </is>
      </c>
      <c r="E70" s="405" t="inlineStr">
        <is>
          <t>J-9</t>
        </is>
      </c>
      <c r="F70" s="405" t="n">
        <v>1</v>
      </c>
      <c r="G70" s="405" t="n"/>
      <c r="H70" s="407" t="inlineStr">
        <is>
          <t>False</t>
        </is>
      </c>
      <c r="I70" s="292">
        <f>'4 | Calculation'!E395</f>
        <v/>
      </c>
      <c r="J70" s="407" t="inlineStr">
        <is>
          <t>m2</t>
        </is>
      </c>
      <c r="K70" s="518">
        <f>L70/I70</f>
        <v/>
      </c>
      <c r="L70" s="515">
        <f>'4 | Calculation'!G395-'4 | Calculation'!M395</f>
        <v/>
      </c>
      <c r="M70" s="311" t="n"/>
    </row>
    <row r="71">
      <c r="B71" s="307" t="inlineStr">
        <is>
          <t>MS CEILING</t>
        </is>
      </c>
      <c r="C71" s="407" t="inlineStr">
        <is>
          <t xml:space="preserve">PRM </t>
        </is>
      </c>
      <c r="D71" s="407" t="inlineStr">
        <is>
          <t>3,30</t>
        </is>
      </c>
      <c r="E71" s="405" t="inlineStr">
        <is>
          <t>J-6</t>
        </is>
      </c>
      <c r="F71" s="405" t="n">
        <v>1</v>
      </c>
      <c r="G71" s="405" t="n"/>
      <c r="H71" s="407" t="inlineStr">
        <is>
          <t>False</t>
        </is>
      </c>
      <c r="I71" s="292">
        <f>'4 | Calculation'!E396</f>
        <v/>
      </c>
      <c r="J71" s="407" t="inlineStr">
        <is>
          <t>m2</t>
        </is>
      </c>
      <c r="K71" s="518">
        <f>L71/I71</f>
        <v/>
      </c>
      <c r="L71" s="515">
        <f>'4 | Calculation'!M396</f>
        <v/>
      </c>
      <c r="M71" s="311" t="n"/>
    </row>
    <row r="72" ht="13.5" customHeight="1" thickBot="1">
      <c r="B72" s="312" t="inlineStr">
        <is>
          <t>MS CEILING</t>
        </is>
      </c>
      <c r="C72" s="313" t="inlineStr">
        <is>
          <t>RF</t>
        </is>
      </c>
      <c r="D72" s="314" t="inlineStr">
        <is>
          <t>3,30</t>
        </is>
      </c>
      <c r="E72" s="315" t="inlineStr">
        <is>
          <t>J-6</t>
        </is>
      </c>
      <c r="F72" s="315" t="n">
        <v>1</v>
      </c>
      <c r="G72" s="315" t="n"/>
      <c r="H72" s="313" t="inlineStr">
        <is>
          <t>False</t>
        </is>
      </c>
      <c r="I72" s="316">
        <f>'4 | Calculation'!E396</f>
        <v/>
      </c>
      <c r="J72" s="314" t="inlineStr">
        <is>
          <t>m2</t>
        </is>
      </c>
      <c r="K72" s="519">
        <f>L72/I72</f>
        <v/>
      </c>
      <c r="L72" s="520">
        <f>'4 | Calculation'!G396-'4 | Calculation'!M396</f>
        <v/>
      </c>
      <c r="M72" s="319" t="n"/>
    </row>
    <row r="73">
      <c r="B73" s="320" t="inlineStr">
        <is>
          <t>LIGHTING</t>
        </is>
      </c>
      <c r="C73" s="321" t="inlineStr">
        <is>
          <t xml:space="preserve">PRM </t>
        </is>
      </c>
      <c r="D73" s="321" t="inlineStr">
        <is>
          <t>3,39e</t>
        </is>
      </c>
      <c r="E73" s="320" t="inlineStr">
        <is>
          <t>N-5</t>
        </is>
      </c>
      <c r="F73" s="320" t="n">
        <v>1</v>
      </c>
      <c r="G73" s="320" t="n"/>
      <c r="H73" s="321" t="inlineStr">
        <is>
          <t>False</t>
        </is>
      </c>
      <c r="I73" s="322">
        <f>'4 | Calculation'!O$9</f>
        <v/>
      </c>
      <c r="J73" s="321" t="inlineStr">
        <is>
          <t>m2</t>
        </is>
      </c>
      <c r="K73" s="521">
        <f>L73/I73</f>
        <v/>
      </c>
      <c r="L73" s="522">
        <f>'4 | Calculation'!M420</f>
        <v/>
      </c>
      <c r="M73" s="320" t="n"/>
    </row>
    <row r="74">
      <c r="B74" s="405" t="inlineStr">
        <is>
          <t>LIGHTING</t>
        </is>
      </c>
      <c r="C74" s="407" t="inlineStr">
        <is>
          <t>RF</t>
        </is>
      </c>
      <c r="D74" s="407" t="inlineStr">
        <is>
          <t>3,39e</t>
        </is>
      </c>
      <c r="E74" s="405" t="inlineStr">
        <is>
          <t>N-5</t>
        </is>
      </c>
      <c r="F74" s="405" t="n">
        <v>1</v>
      </c>
      <c r="G74" s="405" t="n"/>
      <c r="H74" s="407" t="inlineStr">
        <is>
          <t>False</t>
        </is>
      </c>
      <c r="I74" s="292">
        <f>'4 | Calculation'!O$9</f>
        <v/>
      </c>
      <c r="J74" s="407" t="inlineStr">
        <is>
          <t>m2</t>
        </is>
      </c>
      <c r="K74" s="513">
        <f>L74/I74</f>
        <v/>
      </c>
      <c r="L74" s="515">
        <f>'4 | Calculation'!G420-'4 | Calculation'!M420</f>
        <v/>
      </c>
      <c r="M74" s="405" t="n"/>
    </row>
    <row r="75">
      <c r="B75" s="405" t="inlineStr">
        <is>
          <t>SUN AND LIGHT CONTROL</t>
        </is>
      </c>
      <c r="C75" s="407" t="inlineStr">
        <is>
          <t xml:space="preserve">PRM </t>
        </is>
      </c>
      <c r="D75" s="407" t="inlineStr">
        <is>
          <t>3,39f</t>
        </is>
      </c>
      <c r="E75" s="405" t="inlineStr">
        <is>
          <t>L-4</t>
        </is>
      </c>
      <c r="F75" s="405" t="n">
        <v>1</v>
      </c>
      <c r="G75" s="405" t="n"/>
      <c r="H75" s="407" t="inlineStr">
        <is>
          <t>False</t>
        </is>
      </c>
      <c r="I75" s="292">
        <f>'4 | Calculation'!O$9</f>
        <v/>
      </c>
      <c r="J75" s="407" t="inlineStr">
        <is>
          <t>m2</t>
        </is>
      </c>
      <c r="K75" s="513">
        <f>L75/I75</f>
        <v/>
      </c>
      <c r="L75" s="515">
        <f>'4 | Calculation'!M432</f>
        <v/>
      </c>
      <c r="M75" s="405" t="n"/>
    </row>
    <row r="76">
      <c r="B76" s="405" t="inlineStr">
        <is>
          <t>SUN AND LIGHT CONTROL</t>
        </is>
      </c>
      <c r="C76" s="407" t="inlineStr">
        <is>
          <t>RF</t>
        </is>
      </c>
      <c r="D76" s="407" t="inlineStr">
        <is>
          <t>3,39f</t>
        </is>
      </c>
      <c r="E76" s="405" t="inlineStr">
        <is>
          <t>L-4</t>
        </is>
      </c>
      <c r="F76" s="405" t="n">
        <v>1</v>
      </c>
      <c r="G76" s="405" t="n"/>
      <c r="H76" s="407" t="inlineStr">
        <is>
          <t>False</t>
        </is>
      </c>
      <c r="I76" s="292">
        <f>'4 | Calculation'!O$9</f>
        <v/>
      </c>
      <c r="J76" s="407" t="inlineStr">
        <is>
          <t>m2</t>
        </is>
      </c>
      <c r="K76" s="513">
        <f>L76/I76</f>
        <v/>
      </c>
      <c r="L76" s="515">
        <f>'4 | Calculation'!G432-'4 | Calculation'!M432</f>
        <v/>
      </c>
      <c r="M76" s="405" t="n"/>
    </row>
    <row r="77">
      <c r="B77" s="405" t="inlineStr">
        <is>
          <t>BESPOKE FURNITURE</t>
        </is>
      </c>
      <c r="C77" s="407" t="inlineStr">
        <is>
          <t xml:space="preserve">PRM </t>
        </is>
      </c>
      <c r="D77" s="407" t="inlineStr">
        <is>
          <t>3,22</t>
        </is>
      </c>
      <c r="E77" s="405" t="inlineStr">
        <is>
          <t>L-1</t>
        </is>
      </c>
      <c r="F77" s="405" t="n">
        <v>1</v>
      </c>
      <c r="G77" s="405" t="n"/>
      <c r="H77" s="407" t="inlineStr">
        <is>
          <t>False</t>
        </is>
      </c>
      <c r="I77" s="292">
        <f>'4 | Calculation'!O$9</f>
        <v/>
      </c>
      <c r="J77" s="407" t="inlineStr">
        <is>
          <t>m2</t>
        </is>
      </c>
      <c r="K77" s="513">
        <f>L77/I77</f>
        <v/>
      </c>
      <c r="L77" s="515">
        <f>'4 | Calculation'!M453</f>
        <v/>
      </c>
      <c r="M77" s="405" t="n"/>
    </row>
    <row r="78">
      <c r="B78" s="405" t="inlineStr">
        <is>
          <t>BESPOKE FURNITURE</t>
        </is>
      </c>
      <c r="C78" s="407" t="inlineStr">
        <is>
          <t>RF</t>
        </is>
      </c>
      <c r="D78" s="407" t="inlineStr">
        <is>
          <t>3,22</t>
        </is>
      </c>
      <c r="E78" s="405" t="inlineStr">
        <is>
          <t>L-1</t>
        </is>
      </c>
      <c r="F78" s="405" t="n">
        <v>1</v>
      </c>
      <c r="G78" s="405" t="n"/>
      <c r="H78" s="407" t="inlineStr">
        <is>
          <t>False</t>
        </is>
      </c>
      <c r="I78" s="292">
        <f>'4 | Calculation'!O$9</f>
        <v/>
      </c>
      <c r="J78" s="407" t="inlineStr">
        <is>
          <t>m2</t>
        </is>
      </c>
      <c r="K78" s="513">
        <f>L78/I78</f>
        <v/>
      </c>
      <c r="L78" s="515">
        <f>'4 | Calculation'!G453-'4 | Calculation'!M453</f>
        <v/>
      </c>
      <c r="M78" s="405" t="n"/>
    </row>
    <row r="79">
      <c r="A79" s="101" t="inlineStr">
        <is>
          <t>FURNISHINGS &amp; DÉCOR</t>
        </is>
      </c>
      <c r="B79" s="405" t="inlineStr">
        <is>
          <t>FURNITURE</t>
        </is>
      </c>
      <c r="C79" s="407" t="inlineStr">
        <is>
          <t xml:space="preserve">PRM </t>
        </is>
      </c>
      <c r="D79" s="407" t="inlineStr">
        <is>
          <t>3,32</t>
        </is>
      </c>
      <c r="E79" s="405" t="inlineStr">
        <is>
          <t>L-2</t>
        </is>
      </c>
      <c r="F79" s="405" t="n">
        <v>1</v>
      </c>
      <c r="G79" s="405" t="n"/>
      <c r="H79" s="407" t="inlineStr">
        <is>
          <t>False</t>
        </is>
      </c>
      <c r="I79" s="292">
        <f>'4 | Calculation'!O$9</f>
        <v/>
      </c>
      <c r="J79" s="407" t="inlineStr">
        <is>
          <t>m2</t>
        </is>
      </c>
      <c r="K79" s="513">
        <f>L79/I79</f>
        <v/>
      </c>
      <c r="L79" s="515">
        <f>'4 | Calculation'!M480</f>
        <v/>
      </c>
      <c r="M79" s="405" t="n"/>
    </row>
    <row r="80">
      <c r="B80" s="405" t="inlineStr">
        <is>
          <t>FURNITURE</t>
        </is>
      </c>
      <c r="C80" s="407" t="inlineStr">
        <is>
          <t>RF</t>
        </is>
      </c>
      <c r="D80" s="407" t="inlineStr">
        <is>
          <t>3,32</t>
        </is>
      </c>
      <c r="E80" s="405" t="inlineStr">
        <is>
          <t>L-2</t>
        </is>
      </c>
      <c r="F80" s="405" t="n">
        <v>1</v>
      </c>
      <c r="G80" s="405" t="n"/>
      <c r="H80" s="407" t="inlineStr">
        <is>
          <t>False</t>
        </is>
      </c>
      <c r="I80" s="292">
        <f>'4 | Calculation'!O$9</f>
        <v/>
      </c>
      <c r="J80" s="407" t="inlineStr">
        <is>
          <t>m2</t>
        </is>
      </c>
      <c r="K80" s="513">
        <f>L80/I80</f>
        <v/>
      </c>
      <c r="L80" s="515">
        <f>'4 | Calculation'!G480-'4 | Calculation'!M480</f>
        <v/>
      </c>
      <c r="M80" s="405" t="n"/>
    </row>
    <row r="81">
      <c r="B81" s="405" t="inlineStr">
        <is>
          <t>FIXTURES AND FITTINGS</t>
        </is>
      </c>
      <c r="C81" s="407" t="inlineStr">
        <is>
          <t xml:space="preserve">PRM </t>
        </is>
      </c>
      <c r="D81" s="407" t="inlineStr">
        <is>
          <t>3,32</t>
        </is>
      </c>
      <c r="E81" s="405" t="inlineStr">
        <is>
          <t>L-2</t>
        </is>
      </c>
      <c r="F81" s="405" t="n">
        <v>1</v>
      </c>
      <c r="G81" s="405" t="n"/>
      <c r="H81" s="407" t="inlineStr">
        <is>
          <t>False</t>
        </is>
      </c>
      <c r="I81" s="292">
        <f>'4 | Calculation'!O$9</f>
        <v/>
      </c>
      <c r="J81" s="407" t="inlineStr">
        <is>
          <t>m2</t>
        </is>
      </c>
      <c r="K81" s="513">
        <f>L81/I81</f>
        <v/>
      </c>
      <c r="L81" s="515">
        <f>'4 | Calculation'!M494</f>
        <v/>
      </c>
      <c r="M81" s="405" t="n"/>
    </row>
    <row r="82">
      <c r="B82" s="405" t="inlineStr">
        <is>
          <t>FIXTURES AND FITTINGS</t>
        </is>
      </c>
      <c r="C82" s="407" t="inlineStr">
        <is>
          <t>RF</t>
        </is>
      </c>
      <c r="D82" s="407" t="inlineStr">
        <is>
          <t>3,32</t>
        </is>
      </c>
      <c r="E82" s="405" t="inlineStr">
        <is>
          <t>L-2</t>
        </is>
      </c>
      <c r="F82" s="405" t="n">
        <v>1</v>
      </c>
      <c r="G82" s="405" t="n"/>
      <c r="H82" s="407" t="inlineStr">
        <is>
          <t>False</t>
        </is>
      </c>
      <c r="I82" s="292">
        <f>'4 | Calculation'!O$9</f>
        <v/>
      </c>
      <c r="J82" s="407" t="inlineStr">
        <is>
          <t>m2</t>
        </is>
      </c>
      <c r="K82" s="513">
        <f>L82/I82</f>
        <v/>
      </c>
      <c r="L82" s="515">
        <f>'4 | Calculation'!G494-'4 | Calculation'!M494</f>
        <v/>
      </c>
      <c r="M82" s="405" t="n"/>
    </row>
    <row r="83">
      <c r="B83" s="405" t="inlineStr">
        <is>
          <t>AUDIOVISUAL INSTALLATION</t>
        </is>
      </c>
      <c r="C83" s="407" t="inlineStr">
        <is>
          <t xml:space="preserve">PRM </t>
        </is>
      </c>
      <c r="D83" s="407" t="inlineStr">
        <is>
          <t>3,39b</t>
        </is>
      </c>
      <c r="E83" s="405" t="inlineStr">
        <is>
          <t>N-10</t>
        </is>
      </c>
      <c r="F83" s="405" t="n">
        <v>1</v>
      </c>
      <c r="G83" s="405" t="n"/>
      <c r="H83" s="407" t="inlineStr">
        <is>
          <t>False</t>
        </is>
      </c>
      <c r="I83" s="292">
        <f>'4 | Calculation'!O$9</f>
        <v/>
      </c>
      <c r="J83" s="407" t="inlineStr">
        <is>
          <t>m2</t>
        </is>
      </c>
      <c r="K83" s="513">
        <f>L83/I83</f>
        <v/>
      </c>
      <c r="L83" s="515">
        <f>'4 | Calculation'!M511</f>
        <v/>
      </c>
      <c r="M83" s="405" t="n"/>
    </row>
    <row r="84">
      <c r="B84" s="405" t="inlineStr">
        <is>
          <t>AUDIOVISUAL INSTALLATION</t>
        </is>
      </c>
      <c r="C84" s="407" t="inlineStr">
        <is>
          <t>RF</t>
        </is>
      </c>
      <c r="D84" s="407" t="inlineStr">
        <is>
          <t>3,39b</t>
        </is>
      </c>
      <c r="E84" s="405" t="inlineStr">
        <is>
          <t>N-10</t>
        </is>
      </c>
      <c r="F84" s="405" t="n">
        <v>1</v>
      </c>
      <c r="G84" s="405" t="n"/>
      <c r="H84" s="407" t="inlineStr">
        <is>
          <t>False</t>
        </is>
      </c>
      <c r="I84" s="292">
        <f>'4 | Calculation'!O$9</f>
        <v/>
      </c>
      <c r="J84" s="407" t="inlineStr">
        <is>
          <t>m2</t>
        </is>
      </c>
      <c r="K84" s="513">
        <f>L84/I84</f>
        <v/>
      </c>
      <c r="L84" s="515">
        <f>'4 | Calculation'!G511-'4 | Calculation'!M511</f>
        <v/>
      </c>
      <c r="M84" s="405" t="n"/>
    </row>
    <row r="85">
      <c r="B85" s="405" t="inlineStr">
        <is>
          <t>ACOUSTIC FITTINGS</t>
        </is>
      </c>
      <c r="C85" s="407" t="inlineStr">
        <is>
          <t xml:space="preserve">PRM </t>
        </is>
      </c>
      <c r="D85" s="407" t="inlineStr">
        <is>
          <t>3,29</t>
        </is>
      </c>
      <c r="E85" s="405" t="inlineStr">
        <is>
          <t>J-18</t>
        </is>
      </c>
      <c r="F85" s="405" t="n">
        <v>1</v>
      </c>
      <c r="G85" s="405" t="n"/>
      <c r="H85" s="407" t="inlineStr">
        <is>
          <t>False</t>
        </is>
      </c>
      <c r="I85" s="292">
        <f>SUM('4 | Calculation'!E514:E517)</f>
        <v/>
      </c>
      <c r="J85" s="407" t="inlineStr">
        <is>
          <t>m2</t>
        </is>
      </c>
      <c r="K85" s="513">
        <f>L85/I85</f>
        <v/>
      </c>
      <c r="L85" s="515">
        <f>'4 | Calculation'!M525</f>
        <v/>
      </c>
      <c r="M85" s="405" t="n"/>
    </row>
    <row r="86">
      <c r="B86" s="405" t="inlineStr">
        <is>
          <t>ACOUSTIC FITTINGS</t>
        </is>
      </c>
      <c r="C86" s="407" t="inlineStr">
        <is>
          <t>RF</t>
        </is>
      </c>
      <c r="D86" s="407" t="inlineStr">
        <is>
          <t>3,29</t>
        </is>
      </c>
      <c r="E86" s="405" t="inlineStr">
        <is>
          <t>J-18</t>
        </is>
      </c>
      <c r="F86" s="405" t="n">
        <v>1</v>
      </c>
      <c r="G86" s="405" t="n"/>
      <c r="H86" s="407" t="inlineStr">
        <is>
          <t>False</t>
        </is>
      </c>
      <c r="I86" s="292">
        <f>SUM('4 | Calculation'!E514:E517)</f>
        <v/>
      </c>
      <c r="J86" s="407" t="inlineStr">
        <is>
          <t>m2</t>
        </is>
      </c>
      <c r="K86" s="513">
        <f>L86/I86</f>
        <v/>
      </c>
      <c r="L86" s="515">
        <f>'4 | Calculation'!G525-'4 | Calculation'!M525</f>
        <v/>
      </c>
      <c r="M86" s="405" t="n"/>
    </row>
    <row r="87">
      <c r="A87" s="38" t="n"/>
      <c r="B87" s="405" t="inlineStr">
        <is>
          <t>BRANDING, SIGNAGE, DECORATION, STYLING &amp; ILLUMINATED SIGNS</t>
        </is>
      </c>
      <c r="C87" s="407" t="inlineStr">
        <is>
          <t xml:space="preserve">PRM </t>
        </is>
      </c>
      <c r="D87" s="407" t="inlineStr">
        <is>
          <t>3,32b</t>
        </is>
      </c>
      <c r="E87" s="405" t="inlineStr">
        <is>
          <t>L-6</t>
        </is>
      </c>
      <c r="F87" s="405" t="n">
        <v>1</v>
      </c>
      <c r="G87" s="405" t="n"/>
      <c r="H87" s="407" t="inlineStr">
        <is>
          <t>False</t>
        </is>
      </c>
      <c r="I87" s="292">
        <f>'4 | Calculation'!O$9</f>
        <v/>
      </c>
      <c r="J87" s="407" t="inlineStr">
        <is>
          <t>m2</t>
        </is>
      </c>
      <c r="K87" s="513">
        <f>L87/I87</f>
        <v/>
      </c>
      <c r="L87" s="515">
        <f>'4 | Calculation'!M543</f>
        <v/>
      </c>
      <c r="M87" s="405" t="n"/>
    </row>
    <row r="88">
      <c r="A88" s="38" t="n"/>
      <c r="B88" s="405" t="inlineStr">
        <is>
          <t>BRANDING, SIGNAGE, DECORATION, STYLING &amp; ILLUMINATED SIGNS</t>
        </is>
      </c>
      <c r="C88" s="407" t="inlineStr">
        <is>
          <t>RF</t>
        </is>
      </c>
      <c r="D88" s="407" t="inlineStr">
        <is>
          <t>3,32b</t>
        </is>
      </c>
      <c r="E88" s="405" t="inlineStr">
        <is>
          <t>L-6</t>
        </is>
      </c>
      <c r="F88" s="405" t="n">
        <v>1</v>
      </c>
      <c r="G88" s="405" t="n"/>
      <c r="H88" s="407" t="inlineStr">
        <is>
          <t>False</t>
        </is>
      </c>
      <c r="I88" s="292">
        <f>'4 | Calculation'!O$9</f>
        <v/>
      </c>
      <c r="J88" s="407" t="inlineStr">
        <is>
          <t>m2</t>
        </is>
      </c>
      <c r="K88" s="513">
        <f>L88/I88</f>
        <v/>
      </c>
      <c r="L88" s="515">
        <f>'4 | Calculation'!G543-'4 | Calculation'!M543</f>
        <v/>
      </c>
      <c r="M88" s="405" t="n"/>
    </row>
    <row r="89">
      <c r="A89" s="101" t="inlineStr">
        <is>
          <t>MISCELLANEOUS</t>
        </is>
      </c>
      <c r="B89" s="407" t="inlineStr">
        <is>
          <t>WORK OUTSIDE NORMAL WORKING HOURS</t>
        </is>
      </c>
      <c r="C89" s="407" t="inlineStr">
        <is>
          <t xml:space="preserve">PRM </t>
        </is>
      </c>
      <c r="D89" s="407" t="inlineStr">
        <is>
          <t>3,45</t>
        </is>
      </c>
      <c r="E89" s="407" t="inlineStr">
        <is>
          <t>B-2</t>
        </is>
      </c>
      <c r="F89" s="407" t="n">
        <v>1</v>
      </c>
      <c r="G89" s="407" t="n"/>
      <c r="H89" s="407" t="inlineStr">
        <is>
          <t>False</t>
        </is>
      </c>
      <c r="I89" s="292">
        <f>'4 | Calculation'!O$9</f>
        <v/>
      </c>
      <c r="J89" s="407" t="inlineStr">
        <is>
          <t>m2</t>
        </is>
      </c>
      <c r="K89" s="513">
        <f>L89/I89</f>
        <v/>
      </c>
      <c r="L89" s="514">
        <f>'4 | Calculation'!M548</f>
        <v/>
      </c>
      <c r="M89" s="405" t="n"/>
    </row>
    <row r="90">
      <c r="A90" s="38" t="n"/>
      <c r="B90" s="407" t="inlineStr">
        <is>
          <t>WORK OUTSIDE NORMAL WORKING HOURS</t>
        </is>
      </c>
      <c r="C90" s="407" t="inlineStr">
        <is>
          <t>RF</t>
        </is>
      </c>
      <c r="D90" s="407" t="inlineStr">
        <is>
          <t>3,45</t>
        </is>
      </c>
      <c r="E90" s="407" t="inlineStr">
        <is>
          <t>B-2</t>
        </is>
      </c>
      <c r="F90" s="407" t="n">
        <v>1</v>
      </c>
      <c r="G90" s="407" t="n"/>
      <c r="H90" s="407" t="inlineStr">
        <is>
          <t>False</t>
        </is>
      </c>
      <c r="I90" s="292">
        <f>'4 | Calculation'!O$9</f>
        <v/>
      </c>
      <c r="J90" s="407" t="inlineStr">
        <is>
          <t>m2</t>
        </is>
      </c>
      <c r="K90" s="513">
        <f>L90/I90</f>
        <v/>
      </c>
      <c r="L90" s="514">
        <f>'4 | Calculation'!G548-'4 | Calculation'!M548</f>
        <v/>
      </c>
      <c r="M90" s="405" t="n"/>
    </row>
    <row r="91">
      <c r="A91" s="38" t="n"/>
      <c r="B91" s="407" t="inlineStr">
        <is>
          <t>TRAVEL AND ACCOMODATION COSTS</t>
        </is>
      </c>
      <c r="C91" s="407" t="inlineStr">
        <is>
          <t xml:space="preserve">PRM </t>
        </is>
      </c>
      <c r="D91" s="407" t="inlineStr">
        <is>
          <t>3,44</t>
        </is>
      </c>
      <c r="E91" s="407" t="inlineStr">
        <is>
          <t>B-2</t>
        </is>
      </c>
      <c r="F91" s="407" t="n">
        <v>1</v>
      </c>
      <c r="G91" s="407" t="n"/>
      <c r="H91" s="407" t="inlineStr">
        <is>
          <t>False</t>
        </is>
      </c>
      <c r="I91" s="292">
        <f>'4 | Calculation'!O$9</f>
        <v/>
      </c>
      <c r="J91" s="407" t="inlineStr">
        <is>
          <t>m2</t>
        </is>
      </c>
      <c r="K91" s="513">
        <f>L91/I91</f>
        <v/>
      </c>
      <c r="L91" s="514">
        <f>'4 | Calculation'!M549</f>
        <v/>
      </c>
      <c r="M91" s="405" t="n"/>
    </row>
    <row r="92">
      <c r="A92" s="38" t="n"/>
      <c r="B92" s="407" t="inlineStr">
        <is>
          <t>TRAVEL AND ACCOMODATION COSTS</t>
        </is>
      </c>
      <c r="C92" s="407" t="inlineStr">
        <is>
          <t>RF</t>
        </is>
      </c>
      <c r="D92" s="407" t="inlineStr">
        <is>
          <t>3,44</t>
        </is>
      </c>
      <c r="E92" s="407" t="inlineStr">
        <is>
          <t>B-2</t>
        </is>
      </c>
      <c r="F92" s="407" t="n">
        <v>1</v>
      </c>
      <c r="G92" s="407" t="n"/>
      <c r="H92" s="407" t="inlineStr">
        <is>
          <t>False</t>
        </is>
      </c>
      <c r="I92" s="292">
        <f>'4 | Calculation'!O$9</f>
        <v/>
      </c>
      <c r="J92" s="407" t="inlineStr">
        <is>
          <t>m2</t>
        </is>
      </c>
      <c r="K92" s="513">
        <f>L92/I92</f>
        <v/>
      </c>
      <c r="L92" s="514">
        <f>'4 | Calculation'!G549-'4 | Calculation'!M549</f>
        <v/>
      </c>
      <c r="M92" s="405" t="n"/>
    </row>
    <row r="93">
      <c r="A93" s="38" t="n"/>
      <c r="B93" s="407" t="inlineStr">
        <is>
          <t>PARKING COSTS</t>
        </is>
      </c>
      <c r="C93" s="407" t="inlineStr">
        <is>
          <t xml:space="preserve">PRM </t>
        </is>
      </c>
      <c r="D93" s="407" t="inlineStr">
        <is>
          <t>3,44</t>
        </is>
      </c>
      <c r="E93" s="407" t="inlineStr">
        <is>
          <t>B-7</t>
        </is>
      </c>
      <c r="F93" s="407" t="n">
        <v>1</v>
      </c>
      <c r="G93" s="407" t="n"/>
      <c r="H93" s="407" t="inlineStr">
        <is>
          <t>False</t>
        </is>
      </c>
      <c r="I93" s="292">
        <f>'4 | Calculation'!O$9</f>
        <v/>
      </c>
      <c r="J93" s="407" t="inlineStr">
        <is>
          <t>m2</t>
        </is>
      </c>
      <c r="K93" s="513">
        <f>L93/I93</f>
        <v/>
      </c>
      <c r="L93" s="514">
        <f>'4 | Calculation'!M550</f>
        <v/>
      </c>
      <c r="M93" s="405" t="n"/>
    </row>
    <row r="94">
      <c r="A94" s="38" t="n"/>
      <c r="B94" s="407" t="inlineStr">
        <is>
          <t>PARKING COSTS</t>
        </is>
      </c>
      <c r="C94" s="407" t="inlineStr">
        <is>
          <t>RF</t>
        </is>
      </c>
      <c r="D94" s="407" t="inlineStr">
        <is>
          <t>3,44</t>
        </is>
      </c>
      <c r="E94" s="407" t="inlineStr">
        <is>
          <t>B-7</t>
        </is>
      </c>
      <c r="F94" s="407" t="n">
        <v>1</v>
      </c>
      <c r="G94" s="407" t="n"/>
      <c r="H94" s="407" t="inlineStr">
        <is>
          <t>False</t>
        </is>
      </c>
      <c r="I94" s="292">
        <f>'4 | Calculation'!O$9</f>
        <v/>
      </c>
      <c r="J94" s="407" t="inlineStr">
        <is>
          <t>m2</t>
        </is>
      </c>
      <c r="K94" s="513">
        <f>L94/I94</f>
        <v/>
      </c>
      <c r="L94" s="514">
        <f>'4 | Calculation'!G550-'4 | Calculation'!M550</f>
        <v/>
      </c>
      <c r="M94" s="405" t="n"/>
    </row>
    <row r="95">
      <c r="A95" s="38" t="n"/>
      <c r="B95" s="407" t="inlineStr">
        <is>
          <t>TRANSPORT COSTS</t>
        </is>
      </c>
      <c r="C95" s="407" t="inlineStr">
        <is>
          <t xml:space="preserve">PRM </t>
        </is>
      </c>
      <c r="D95" s="407" t="inlineStr">
        <is>
          <t>3,40</t>
        </is>
      </c>
      <c r="E95" s="407" t="inlineStr">
        <is>
          <t>B-2</t>
        </is>
      </c>
      <c r="F95" s="407" t="n">
        <v>1</v>
      </c>
      <c r="G95" s="407" t="n"/>
      <c r="H95" s="407" t="inlineStr">
        <is>
          <t>False</t>
        </is>
      </c>
      <c r="I95" s="292">
        <f>'4 | Calculation'!O$9</f>
        <v/>
      </c>
      <c r="J95" s="407" t="inlineStr">
        <is>
          <t>m2</t>
        </is>
      </c>
      <c r="K95" s="513">
        <f>L95/I95</f>
        <v/>
      </c>
      <c r="L95" s="514">
        <f>'4 | Calculation'!M551</f>
        <v/>
      </c>
      <c r="M95" s="405" t="n"/>
    </row>
    <row r="96">
      <c r="A96" s="38" t="n"/>
      <c r="B96" s="407" t="inlineStr">
        <is>
          <t>TRANSPORT COSTS</t>
        </is>
      </c>
      <c r="C96" s="407" t="inlineStr">
        <is>
          <t>RF</t>
        </is>
      </c>
      <c r="D96" s="407" t="inlineStr">
        <is>
          <t>3,40</t>
        </is>
      </c>
      <c r="E96" s="407" t="inlineStr">
        <is>
          <t>B-2</t>
        </is>
      </c>
      <c r="F96" s="407" t="n">
        <v>1</v>
      </c>
      <c r="G96" s="407" t="n"/>
      <c r="H96" s="407" t="inlineStr">
        <is>
          <t>False</t>
        </is>
      </c>
      <c r="I96" s="292">
        <f>'4 | Calculation'!O$9</f>
        <v/>
      </c>
      <c r="J96" s="407" t="inlineStr">
        <is>
          <t>m2</t>
        </is>
      </c>
      <c r="K96" s="513">
        <f>L96/I96</f>
        <v/>
      </c>
      <c r="L96" s="514">
        <f>'4 | Calculation'!G551-'4 | Calculation'!M551</f>
        <v/>
      </c>
      <c r="M96" s="405" t="n"/>
    </row>
    <row r="97">
      <c r="A97" s="38" t="n"/>
      <c r="B97" s="405" t="inlineStr">
        <is>
          <t>RELOCATION</t>
        </is>
      </c>
      <c r="C97" s="407" t="inlineStr">
        <is>
          <t xml:space="preserve">PRM </t>
        </is>
      </c>
      <c r="D97" s="407" t="inlineStr">
        <is>
          <t>3,40</t>
        </is>
      </c>
      <c r="E97" s="407" t="inlineStr">
        <is>
          <t>O-5</t>
        </is>
      </c>
      <c r="F97" s="405" t="n">
        <v>2</v>
      </c>
      <c r="G97" s="405" t="n"/>
      <c r="H97" s="407" t="inlineStr">
        <is>
          <t>False</t>
        </is>
      </c>
      <c r="I97" s="292">
        <f>'4 | Calculation'!O$9</f>
        <v/>
      </c>
      <c r="J97" s="407" t="inlineStr">
        <is>
          <t>m2</t>
        </is>
      </c>
      <c r="K97" s="513">
        <f>L97/I97</f>
        <v/>
      </c>
      <c r="L97" s="515">
        <f>'4 | Calculation'!M569</f>
        <v/>
      </c>
      <c r="M97" s="405" t="n"/>
    </row>
    <row r="98">
      <c r="A98" s="38" t="n"/>
      <c r="B98" s="405" t="inlineStr">
        <is>
          <t>RELOCATION</t>
        </is>
      </c>
      <c r="C98" s="407" t="inlineStr">
        <is>
          <t>RF</t>
        </is>
      </c>
      <c r="D98" s="407" t="inlineStr">
        <is>
          <t>3,40</t>
        </is>
      </c>
      <c r="E98" s="407" t="inlineStr">
        <is>
          <t>O-5</t>
        </is>
      </c>
      <c r="F98" s="405" t="n">
        <v>2</v>
      </c>
      <c r="G98" s="405" t="n"/>
      <c r="H98" s="407" t="inlineStr">
        <is>
          <t>False</t>
        </is>
      </c>
      <c r="I98" s="292">
        <f>'4 | Calculation'!O$9</f>
        <v/>
      </c>
      <c r="J98" s="407" t="inlineStr">
        <is>
          <t>m2</t>
        </is>
      </c>
      <c r="K98" s="513">
        <f>L98/I98</f>
        <v/>
      </c>
      <c r="L98" s="515">
        <f>'4 | Calculation'!G569-'4 | Calculation'!M569</f>
        <v/>
      </c>
      <c r="M98" s="405" t="n"/>
    </row>
    <row r="99">
      <c r="B99" s="407" t="inlineStr">
        <is>
          <t>WARRANTY &amp; INSPECTION CERTIFICATES</t>
        </is>
      </c>
      <c r="C99" s="407" t="inlineStr">
        <is>
          <t xml:space="preserve">PRM </t>
        </is>
      </c>
      <c r="D99" s="407" t="inlineStr">
        <is>
          <t>1,6</t>
        </is>
      </c>
      <c r="E99" s="407" t="inlineStr">
        <is>
          <t>A-4</t>
        </is>
      </c>
      <c r="F99" s="407" t="n">
        <v>6</v>
      </c>
      <c r="G99" s="407" t="n"/>
      <c r="H99" s="407" t="inlineStr">
        <is>
          <t>False</t>
        </is>
      </c>
      <c r="I99" s="292">
        <f>'4 | Calculation'!O$9</f>
        <v/>
      </c>
      <c r="J99" s="407" t="inlineStr">
        <is>
          <t>m2</t>
        </is>
      </c>
      <c r="K99" s="513">
        <f>L99/I99</f>
        <v/>
      </c>
      <c r="L99" s="514">
        <f>'4 | Calculation'!M576</f>
        <v/>
      </c>
      <c r="M99" s="405" t="n"/>
    </row>
    <row r="100">
      <c r="B100" s="407" t="inlineStr">
        <is>
          <t>WARRANTY &amp; INSPECTION CERTIFICATES</t>
        </is>
      </c>
      <c r="C100" s="407" t="inlineStr">
        <is>
          <t>RF</t>
        </is>
      </c>
      <c r="D100" s="407" t="inlineStr">
        <is>
          <t>1,6</t>
        </is>
      </c>
      <c r="E100" s="407" t="inlineStr">
        <is>
          <t>A-4</t>
        </is>
      </c>
      <c r="F100" s="407" t="n">
        <v>6</v>
      </c>
      <c r="G100" s="407" t="n"/>
      <c r="H100" s="407" t="inlineStr">
        <is>
          <t>False</t>
        </is>
      </c>
      <c r="I100" s="292">
        <f>'4 | Calculation'!O$9</f>
        <v/>
      </c>
      <c r="J100" s="407" t="inlineStr">
        <is>
          <t>m2</t>
        </is>
      </c>
      <c r="K100" s="513">
        <f>L100/I100</f>
        <v/>
      </c>
      <c r="L100" s="514">
        <f>'4 | Calculation'!G576-'4 | Calculation'!M576</f>
        <v/>
      </c>
      <c r="M100" s="405" t="n"/>
    </row>
    <row r="101">
      <c r="A101" s="101" t="inlineStr">
        <is>
          <t>CONSULTANCY, DESIGN &amp; PROJECT MANAGEMENT</t>
        </is>
      </c>
      <c r="B101" s="405" t="inlineStr">
        <is>
          <t>(INTERIOR) ARCHITECT</t>
        </is>
      </c>
      <c r="C101" s="407" t="inlineStr">
        <is>
          <t xml:space="preserve">PRM </t>
        </is>
      </c>
      <c r="D101" s="405" t="inlineStr">
        <is>
          <t>1,7</t>
        </is>
      </c>
      <c r="E101" s="405" t="inlineStr">
        <is>
          <t>A-1</t>
        </is>
      </c>
      <c r="F101" s="405" t="n">
        <v>2</v>
      </c>
      <c r="G101" s="405" t="n"/>
      <c r="H101" s="407" t="inlineStr">
        <is>
          <t>False</t>
        </is>
      </c>
      <c r="I101" s="292">
        <f>'4 | Calculation'!E581</f>
        <v/>
      </c>
      <c r="J101" s="407" t="inlineStr">
        <is>
          <t>hrs</t>
        </is>
      </c>
      <c r="K101" s="513">
        <f>L99/I101</f>
        <v/>
      </c>
      <c r="L101" s="523">
        <f>'4 | Calculation'!M581</f>
        <v/>
      </c>
      <c r="M101" s="405" t="n"/>
    </row>
    <row r="102">
      <c r="A102" s="326" t="n"/>
      <c r="B102" s="405" t="inlineStr">
        <is>
          <t>(INTERIOR) ARCHITECT</t>
        </is>
      </c>
      <c r="C102" s="407" t="inlineStr">
        <is>
          <t>RF</t>
        </is>
      </c>
      <c r="D102" s="405" t="inlineStr">
        <is>
          <t>1,7</t>
        </is>
      </c>
      <c r="E102" s="405" t="n"/>
      <c r="F102" s="405" t="n">
        <v>2</v>
      </c>
      <c r="G102" s="405" t="n"/>
      <c r="H102" s="407" t="inlineStr">
        <is>
          <t>False</t>
        </is>
      </c>
      <c r="I102" s="292">
        <f>'4 | Calculation'!E581</f>
        <v/>
      </c>
      <c r="J102" s="407" t="inlineStr">
        <is>
          <t>hrs</t>
        </is>
      </c>
      <c r="K102" s="513">
        <f>L100/I102</f>
        <v/>
      </c>
      <c r="L102" s="523">
        <f>'4 | Calculation'!G581-'4 | Calculation'!M581</f>
        <v/>
      </c>
      <c r="M102" s="405" t="n"/>
    </row>
    <row r="103">
      <c r="A103" s="38" t="n"/>
      <c r="B103" s="405" t="inlineStr">
        <is>
          <t>PROJET MANAGER</t>
        </is>
      </c>
      <c r="C103" s="407" t="inlineStr">
        <is>
          <t xml:space="preserve">PRM </t>
        </is>
      </c>
      <c r="D103" s="405" t="inlineStr">
        <is>
          <t>1,2</t>
        </is>
      </c>
      <c r="E103" s="405" t="inlineStr">
        <is>
          <t>A-6</t>
        </is>
      </c>
      <c r="F103" s="405" t="n">
        <v>2</v>
      </c>
      <c r="G103" s="405" t="n"/>
      <c r="H103" s="407" t="inlineStr">
        <is>
          <t>False</t>
        </is>
      </c>
      <c r="I103" s="292">
        <f>'4 | Calculation'!E582</f>
        <v/>
      </c>
      <c r="J103" s="407" t="inlineStr">
        <is>
          <t>hrs</t>
        </is>
      </c>
      <c r="K103" s="513">
        <f>L101/I103</f>
        <v/>
      </c>
      <c r="L103" s="523">
        <f>'4 | Calculation'!M582</f>
        <v/>
      </c>
      <c r="M103" s="405" t="n"/>
    </row>
    <row r="104">
      <c r="A104" s="38" t="n"/>
      <c r="B104" s="405" t="inlineStr">
        <is>
          <t>PROJECT</t>
        </is>
      </c>
      <c r="C104" s="407" t="inlineStr">
        <is>
          <t>RF</t>
        </is>
      </c>
      <c r="D104" s="405" t="inlineStr">
        <is>
          <t>1,2</t>
        </is>
      </c>
      <c r="E104" s="405" t="n"/>
      <c r="F104" s="405" t="n">
        <v>2</v>
      </c>
      <c r="G104" s="405" t="n"/>
      <c r="H104" s="407" t="inlineStr">
        <is>
          <t>False</t>
        </is>
      </c>
      <c r="I104" s="292">
        <f>'4 | Calculation'!E582</f>
        <v/>
      </c>
      <c r="J104" s="407" t="inlineStr">
        <is>
          <t>hrs</t>
        </is>
      </c>
      <c r="K104" s="513">
        <f>L102/I104</f>
        <v/>
      </c>
      <c r="L104" s="523">
        <f>'4 | Calculation'!G582-'4 | Calculation'!M582</f>
        <v/>
      </c>
      <c r="M104" s="405" t="n"/>
    </row>
    <row r="105">
      <c r="A105" s="38" t="n"/>
      <c r="B105" s="405" t="inlineStr">
        <is>
          <t>SITE MANAGER</t>
        </is>
      </c>
      <c r="C105" s="407" t="inlineStr">
        <is>
          <t xml:space="preserve">PRM </t>
        </is>
      </c>
      <c r="D105" s="405" t="inlineStr">
        <is>
          <t>1,8</t>
        </is>
      </c>
      <c r="E105" s="405" t="inlineStr">
        <is>
          <t>A-8</t>
        </is>
      </c>
      <c r="F105" s="405" t="n">
        <v>2</v>
      </c>
      <c r="G105" s="405" t="n"/>
      <c r="H105" s="407" t="inlineStr">
        <is>
          <t>False</t>
        </is>
      </c>
      <c r="I105" s="292">
        <f>'4 | Calculation'!E583</f>
        <v/>
      </c>
      <c r="J105" s="407" t="inlineStr">
        <is>
          <t>hrs</t>
        </is>
      </c>
      <c r="K105" s="513">
        <f>L103/I105</f>
        <v/>
      </c>
      <c r="L105" s="523">
        <f>'4 | Calculation'!G583</f>
        <v/>
      </c>
      <c r="M105" s="405" t="n"/>
    </row>
    <row r="106">
      <c r="A106" s="38" t="n"/>
      <c r="B106" s="405" t="inlineStr">
        <is>
          <t>SITE MANAGER</t>
        </is>
      </c>
      <c r="C106" s="407" t="inlineStr">
        <is>
          <t xml:space="preserve">PRM </t>
        </is>
      </c>
      <c r="D106" s="405" t="inlineStr">
        <is>
          <t>1,8</t>
        </is>
      </c>
      <c r="E106" s="405" t="n"/>
      <c r="F106" s="405" t="n">
        <v>2</v>
      </c>
      <c r="G106" s="405" t="n"/>
      <c r="H106" s="407" t="inlineStr">
        <is>
          <t>False</t>
        </is>
      </c>
      <c r="I106" s="292">
        <f>'4 | Calculation'!E583</f>
        <v/>
      </c>
      <c r="J106" s="407" t="inlineStr">
        <is>
          <t>hrs</t>
        </is>
      </c>
      <c r="K106" s="513">
        <f>L104/I106</f>
        <v/>
      </c>
      <c r="L106" s="523">
        <f>'4 | Calculation'!G583-'4 | Calculation'!M583</f>
        <v/>
      </c>
      <c r="M106" s="405" t="n"/>
    </row>
    <row r="107">
      <c r="A107" s="38" t="n"/>
      <c r="B107" s="405" t="inlineStr">
        <is>
          <t>FACILITIES MANAGEMENT</t>
        </is>
      </c>
      <c r="C107" s="407" t="inlineStr">
        <is>
          <t>RF</t>
        </is>
      </c>
      <c r="D107" s="405" t="inlineStr">
        <is>
          <t>1,9</t>
        </is>
      </c>
      <c r="E107" s="405" t="inlineStr">
        <is>
          <t>A</t>
        </is>
      </c>
      <c r="F107" s="405" t="n">
        <v>2</v>
      </c>
      <c r="G107" s="405" t="n"/>
      <c r="H107" s="407" t="inlineStr">
        <is>
          <t>False</t>
        </is>
      </c>
      <c r="I107" s="292">
        <f>'4 | Calculation'!E584</f>
        <v/>
      </c>
      <c r="J107" s="407" t="inlineStr">
        <is>
          <t>hrs</t>
        </is>
      </c>
      <c r="K107" s="513">
        <f>L105/I107</f>
        <v/>
      </c>
      <c r="L107" s="523">
        <f>'4 | Calculation'!G584</f>
        <v/>
      </c>
      <c r="M107" s="405" t="n"/>
    </row>
    <row r="108">
      <c r="A108" s="38" t="n"/>
      <c r="B108" s="405" t="inlineStr">
        <is>
          <t>FACILITIES MANAGEMENT</t>
        </is>
      </c>
      <c r="C108" s="407" t="inlineStr">
        <is>
          <t xml:space="preserve">PRM </t>
        </is>
      </c>
      <c r="D108" s="405" t="inlineStr">
        <is>
          <t>1,9</t>
        </is>
      </c>
      <c r="E108" s="405" t="n"/>
      <c r="F108" s="405" t="n">
        <v>2</v>
      </c>
      <c r="G108" s="405" t="n"/>
      <c r="H108" s="407" t="inlineStr">
        <is>
          <t>False</t>
        </is>
      </c>
      <c r="I108" s="292">
        <f>'4 | Calculation'!E584</f>
        <v/>
      </c>
      <c r="J108" s="407" t="inlineStr">
        <is>
          <t>hrs</t>
        </is>
      </c>
      <c r="K108" s="513">
        <f>L107/I108</f>
        <v/>
      </c>
      <c r="L108" s="523">
        <f>'4 | Calculation'!G584-'4 | Calculation'!M584</f>
        <v/>
      </c>
      <c r="M108" s="405" t="n"/>
    </row>
    <row r="109">
      <c r="A109" s="38" t="n"/>
      <c r="B109" s="405" t="inlineStr">
        <is>
          <t>STRUCTURAL ENGINEER</t>
        </is>
      </c>
      <c r="C109" s="407" t="inlineStr">
        <is>
          <t>RF</t>
        </is>
      </c>
      <c r="D109" s="405" t="inlineStr">
        <is>
          <t>2,3</t>
        </is>
      </c>
      <c r="E109" s="405" t="inlineStr">
        <is>
          <t>A-12</t>
        </is>
      </c>
      <c r="F109" s="405" t="n">
        <v>2</v>
      </c>
      <c r="G109" s="405" t="n"/>
      <c r="H109" s="407" t="inlineStr">
        <is>
          <t>False</t>
        </is>
      </c>
      <c r="I109" s="292">
        <f>'4 | Calculation'!E589</f>
        <v/>
      </c>
      <c r="J109" s="407" t="inlineStr">
        <is>
          <t>hrs</t>
        </is>
      </c>
      <c r="K109" s="518">
        <f>'4 | Calculation'!F589</f>
        <v/>
      </c>
      <c r="L109" s="523">
        <f>'4 | Calculation'!M589</f>
        <v/>
      </c>
      <c r="M109" s="405" t="n"/>
    </row>
    <row r="110">
      <c r="A110" s="38" t="n"/>
      <c r="B110" s="405" t="inlineStr">
        <is>
          <t>STRUCTURAL ENGINEER</t>
        </is>
      </c>
      <c r="C110" s="407" t="inlineStr">
        <is>
          <t xml:space="preserve">PRM </t>
        </is>
      </c>
      <c r="D110" s="405" t="inlineStr">
        <is>
          <t>2,3</t>
        </is>
      </c>
      <c r="E110" s="405" t="inlineStr">
        <is>
          <t>A-12</t>
        </is>
      </c>
      <c r="F110" s="405" t="n">
        <v>2</v>
      </c>
      <c r="G110" s="405" t="n"/>
      <c r="H110" s="407" t="inlineStr">
        <is>
          <t>False</t>
        </is>
      </c>
      <c r="I110" s="292">
        <f>'4 | Calculation'!E589-'4 | Calculation'!K589</f>
        <v/>
      </c>
      <c r="J110" s="407" t="inlineStr">
        <is>
          <t>hrs</t>
        </is>
      </c>
      <c r="K110" s="518">
        <f>'4 | Calculation'!F589-'4 | Calculation'!L589</f>
        <v/>
      </c>
      <c r="L110" s="515">
        <f>'4 | Calculation'!G589-'4 | Calculation'!M589</f>
        <v/>
      </c>
      <c r="M110" s="405" t="n"/>
    </row>
    <row r="111">
      <c r="A111" s="38" t="n"/>
      <c r="B111" s="405" t="inlineStr">
        <is>
          <t>INSTALLATION CONSULTANT</t>
        </is>
      </c>
      <c r="C111" s="405" t="inlineStr">
        <is>
          <t>PRM</t>
        </is>
      </c>
      <c r="D111" s="405" t="inlineStr">
        <is>
          <t>2,4</t>
        </is>
      </c>
      <c r="E111" s="405" t="inlineStr">
        <is>
          <t>A-9</t>
        </is>
      </c>
      <c r="F111" s="405" t="n">
        <v>2</v>
      </c>
      <c r="G111" s="405" t="n"/>
      <c r="H111" s="407" t="inlineStr">
        <is>
          <t>False</t>
        </is>
      </c>
      <c r="I111" s="292">
        <f>'4 | Calculation'!E590</f>
        <v/>
      </c>
      <c r="J111" s="407" t="inlineStr">
        <is>
          <t>hrs</t>
        </is>
      </c>
      <c r="K111" s="518">
        <f>'4 | Calculation'!F590</f>
        <v/>
      </c>
      <c r="L111" s="515">
        <f>'4 | Calculation'!G590</f>
        <v/>
      </c>
      <c r="M111" s="405" t="n"/>
    </row>
    <row r="112">
      <c r="A112" s="38" t="n"/>
      <c r="B112" s="405" t="inlineStr">
        <is>
          <t>INSTALLATION CONSULTANT</t>
        </is>
      </c>
      <c r="C112" s="405" t="inlineStr">
        <is>
          <t>RF</t>
        </is>
      </c>
      <c r="D112" s="405" t="inlineStr">
        <is>
          <t>2,4</t>
        </is>
      </c>
      <c r="E112" s="405" t="inlineStr">
        <is>
          <t>A-9</t>
        </is>
      </c>
      <c r="F112" s="405" t="n">
        <v>2</v>
      </c>
      <c r="G112" s="405" t="n"/>
      <c r="H112" s="407" t="inlineStr">
        <is>
          <t>False</t>
        </is>
      </c>
      <c r="I112" s="292">
        <f>'4 | Calculation'!E590-'4 | Calculation'!K590</f>
        <v/>
      </c>
      <c r="J112" s="407" t="inlineStr">
        <is>
          <t>hrs</t>
        </is>
      </c>
      <c r="K112" s="518">
        <f>'4 | Calculation'!F590-'4 | Calculation'!L590</f>
        <v/>
      </c>
      <c r="L112" s="514">
        <f>'4 | Calculation'!G590-'4 | Calculation'!M590</f>
        <v/>
      </c>
      <c r="M112" s="405" t="n"/>
    </row>
    <row r="113">
      <c r="A113" s="38" t="n"/>
      <c r="B113" s="405" t="inlineStr">
        <is>
          <t>LIGHTING  CONSULTANT</t>
        </is>
      </c>
      <c r="C113" s="405" t="inlineStr">
        <is>
          <t>PRM</t>
        </is>
      </c>
      <c r="D113" s="405" t="inlineStr">
        <is>
          <t>2,20</t>
        </is>
      </c>
      <c r="E113" s="405" t="inlineStr">
        <is>
          <t>A-13</t>
        </is>
      </c>
      <c r="F113" s="405" t="n">
        <v>2</v>
      </c>
      <c r="G113" s="405" t="n"/>
      <c r="H113" s="407" t="inlineStr">
        <is>
          <t>False</t>
        </is>
      </c>
      <c r="I113" s="292">
        <f>'4 | Calculation'!E591</f>
        <v/>
      </c>
      <c r="J113" s="407" t="inlineStr">
        <is>
          <t>hrs</t>
        </is>
      </c>
      <c r="K113" s="518">
        <f>'4 | Calculation'!F591</f>
        <v/>
      </c>
      <c r="L113" s="514">
        <f>'4 | Calculation'!G591</f>
        <v/>
      </c>
      <c r="M113" s="405" t="n"/>
    </row>
    <row r="114">
      <c r="A114" s="38" t="n"/>
      <c r="B114" s="405" t="inlineStr">
        <is>
          <t>LIGHTING CONSULTANT</t>
        </is>
      </c>
      <c r="C114" s="405" t="inlineStr">
        <is>
          <t>RF</t>
        </is>
      </c>
      <c r="D114" s="405" t="inlineStr">
        <is>
          <t>2,20</t>
        </is>
      </c>
      <c r="E114" s="405" t="inlineStr">
        <is>
          <t>A-13</t>
        </is>
      </c>
      <c r="F114" s="405" t="n">
        <v>2</v>
      </c>
      <c r="G114" s="405" t="n"/>
      <c r="H114" s="407" t="inlineStr">
        <is>
          <t>False</t>
        </is>
      </c>
      <c r="I114" s="292">
        <f>'4 | Calculation'!E591-'4 | Calculation'!K591</f>
        <v/>
      </c>
      <c r="J114" s="407" t="inlineStr">
        <is>
          <t>hrs</t>
        </is>
      </c>
      <c r="K114" s="518">
        <f>'4 | Calculation'!F591-'4 | Calculation'!L591</f>
        <v/>
      </c>
      <c r="L114" s="515">
        <f>'4 | Calculation'!G591-'4 | Calculation'!M591</f>
        <v/>
      </c>
      <c r="M114" s="405" t="n"/>
    </row>
    <row r="115">
      <c r="A115" s="38" t="n"/>
      <c r="B115" s="405" t="inlineStr">
        <is>
          <t>ACOUSTICS CONSULTANT</t>
        </is>
      </c>
      <c r="C115" s="405" t="inlineStr">
        <is>
          <t>PRM</t>
        </is>
      </c>
      <c r="D115" s="405" t="inlineStr">
        <is>
          <t>2,8</t>
        </is>
      </c>
      <c r="E115" s="405" t="inlineStr">
        <is>
          <t>A-14</t>
        </is>
      </c>
      <c r="F115" s="405" t="n">
        <v>2</v>
      </c>
      <c r="G115" s="405" t="n"/>
      <c r="H115" s="407" t="inlineStr">
        <is>
          <t>False</t>
        </is>
      </c>
      <c r="I115" s="292">
        <f>'4 | Calculation'!E592</f>
        <v/>
      </c>
      <c r="J115" s="407" t="inlineStr">
        <is>
          <t>hrs</t>
        </is>
      </c>
      <c r="K115" s="518">
        <f>'4 | Calculation'!F592</f>
        <v/>
      </c>
      <c r="L115" s="515">
        <f>'4 | Calculation'!G592</f>
        <v/>
      </c>
      <c r="M115" s="405" t="n"/>
    </row>
    <row r="116">
      <c r="A116" s="38" t="n"/>
      <c r="B116" s="405" t="inlineStr">
        <is>
          <t>ACOUSTICS CONSULTANT</t>
        </is>
      </c>
      <c r="C116" s="405" t="inlineStr">
        <is>
          <t>RF</t>
        </is>
      </c>
      <c r="D116" s="405" t="inlineStr">
        <is>
          <t>2,8</t>
        </is>
      </c>
      <c r="E116" s="405" t="inlineStr">
        <is>
          <t>A-14</t>
        </is>
      </c>
      <c r="F116" s="405" t="n">
        <v>2</v>
      </c>
      <c r="G116" s="405" t="n"/>
      <c r="H116" s="407" t="inlineStr">
        <is>
          <t>False</t>
        </is>
      </c>
      <c r="I116" s="292">
        <f>'4 | Calculation'!E592-'4 | Calculation'!K592</f>
        <v/>
      </c>
      <c r="J116" s="407" t="inlineStr">
        <is>
          <t>hrs</t>
        </is>
      </c>
      <c r="K116" s="518">
        <f>'4 | Calculation'!F592-'4 | Calculation'!L592</f>
        <v/>
      </c>
      <c r="L116" s="514">
        <f>'4 | Calculation'!G592-'4 | Calculation'!M592</f>
        <v/>
      </c>
      <c r="M116" s="405" t="n"/>
    </row>
    <row r="117">
      <c r="A117" s="38" t="n"/>
      <c r="B117" s="405" t="inlineStr">
        <is>
          <t>BUILDING PHYSICS CONSULTANT</t>
        </is>
      </c>
      <c r="C117" s="405" t="inlineStr">
        <is>
          <t>PRM</t>
        </is>
      </c>
      <c r="D117" s="405" t="inlineStr">
        <is>
          <t>2,8</t>
        </is>
      </c>
      <c r="E117" s="405" t="inlineStr">
        <is>
          <t>A-14</t>
        </is>
      </c>
      <c r="F117" s="405" t="n">
        <v>2</v>
      </c>
      <c r="G117" s="405" t="n"/>
      <c r="H117" s="407" t="inlineStr">
        <is>
          <t>False</t>
        </is>
      </c>
      <c r="I117" s="292">
        <f>'4 | Calculation'!E593</f>
        <v/>
      </c>
      <c r="J117" s="407" t="inlineStr">
        <is>
          <t>hrs</t>
        </is>
      </c>
      <c r="K117" s="518">
        <f>'4 | Calculation'!F593</f>
        <v/>
      </c>
      <c r="L117" s="514">
        <f>'4 | Calculation'!G593</f>
        <v/>
      </c>
      <c r="M117" s="405" t="n"/>
    </row>
    <row r="118">
      <c r="A118" s="38" t="n"/>
      <c r="B118" s="405" t="inlineStr">
        <is>
          <t>BUILDING PHYSICS CONSULTANT</t>
        </is>
      </c>
      <c r="C118" s="405" t="inlineStr">
        <is>
          <t>RF</t>
        </is>
      </c>
      <c r="D118" s="405" t="inlineStr">
        <is>
          <t>2,8</t>
        </is>
      </c>
      <c r="E118" s="405" t="inlineStr">
        <is>
          <t>A-14</t>
        </is>
      </c>
      <c r="F118" s="405" t="n">
        <v>2</v>
      </c>
      <c r="G118" s="405" t="n"/>
      <c r="H118" s="407" t="inlineStr">
        <is>
          <t>False</t>
        </is>
      </c>
      <c r="I118" s="292">
        <f>'4 | Calculation'!E593-'4 | Calculation'!K593</f>
        <v/>
      </c>
      <c r="J118" s="407" t="inlineStr">
        <is>
          <t>hrs</t>
        </is>
      </c>
      <c r="K118" s="518">
        <f>'4 | Calculation'!F593-'4 | Calculation'!L593</f>
        <v/>
      </c>
      <c r="L118" s="515">
        <f>'4 | Calculation'!G593-'4 | Calculation'!M593</f>
        <v/>
      </c>
      <c r="M118" s="405" t="n"/>
    </row>
    <row r="119">
      <c r="A119" s="38" t="n"/>
      <c r="B119" s="405" t="inlineStr">
        <is>
          <t>FIRE SAFETY CONSULTANT</t>
        </is>
      </c>
      <c r="C119" s="405" t="inlineStr">
        <is>
          <t>PRM</t>
        </is>
      </c>
      <c r="D119" s="405" t="inlineStr">
        <is>
          <t>2,2</t>
        </is>
      </c>
      <c r="E119" s="405" t="inlineStr">
        <is>
          <t>A-17</t>
        </is>
      </c>
      <c r="F119" s="405" t="n">
        <v>2</v>
      </c>
      <c r="G119" s="405" t="n"/>
      <c r="H119" s="407" t="inlineStr">
        <is>
          <t>False</t>
        </is>
      </c>
      <c r="I119" s="292">
        <f>'4 | Calculation'!E594</f>
        <v/>
      </c>
      <c r="J119" s="407" t="inlineStr">
        <is>
          <t>hrs</t>
        </is>
      </c>
      <c r="K119" s="518">
        <f>'4 | Calculation'!F594</f>
        <v/>
      </c>
      <c r="L119" s="515">
        <f>'4 | Calculation'!G594</f>
        <v/>
      </c>
      <c r="M119" s="405" t="n"/>
    </row>
    <row r="120">
      <c r="A120" s="38" t="n"/>
      <c r="B120" s="405" t="inlineStr">
        <is>
          <t>FIRE SAFETY CONSULTANT</t>
        </is>
      </c>
      <c r="C120" s="405" t="inlineStr">
        <is>
          <t>RF</t>
        </is>
      </c>
      <c r="D120" s="405" t="inlineStr">
        <is>
          <t>2,2</t>
        </is>
      </c>
      <c r="E120" s="405" t="inlineStr">
        <is>
          <t>A-17</t>
        </is>
      </c>
      <c r="F120" s="405" t="n">
        <v>2</v>
      </c>
      <c r="G120" s="405" t="n"/>
      <c r="H120" s="407" t="inlineStr">
        <is>
          <t>False</t>
        </is>
      </c>
      <c r="I120" s="292">
        <f>'4 | Calculation'!E594-'4 | Calculation'!K594</f>
        <v/>
      </c>
      <c r="J120" s="407" t="inlineStr">
        <is>
          <t>hrs</t>
        </is>
      </c>
      <c r="K120" s="518">
        <f>'4 | Calculation'!F594-'4 | Calculation'!L594</f>
        <v/>
      </c>
      <c r="L120" s="514">
        <f>'4 | Calculation'!G594-'4 | Calculation'!M594</f>
        <v/>
      </c>
      <c r="M120" s="405" t="n"/>
    </row>
    <row r="121">
      <c r="A121" s="101" t="inlineStr">
        <is>
          <t>OTHER</t>
        </is>
      </c>
      <c r="B121" s="405" t="inlineStr">
        <is>
          <t>CONTINGENCIES</t>
        </is>
      </c>
      <c r="C121" s="405" t="inlineStr">
        <is>
          <t>RF</t>
        </is>
      </c>
      <c r="D121" s="405" t="inlineStr">
        <is>
          <t>1,4</t>
        </is>
      </c>
      <c r="E121" s="405" t="inlineStr">
        <is>
          <t>O-1</t>
        </is>
      </c>
      <c r="F121" s="405" t="n">
        <v>4</v>
      </c>
      <c r="G121" s="405" t="n"/>
      <c r="H121" s="407" t="inlineStr">
        <is>
          <t>False</t>
        </is>
      </c>
      <c r="I121" s="292">
        <f>'4 | Calculation'!E607</f>
        <v/>
      </c>
      <c r="J121" s="407" t="inlineStr">
        <is>
          <t>%</t>
        </is>
      </c>
      <c r="K121" s="513">
        <f>'4 | Calculation'!F607</f>
        <v/>
      </c>
      <c r="L121" s="514">
        <f>'4 | Calculation'!G607</f>
        <v/>
      </c>
      <c r="M121" s="405" t="n"/>
    </row>
    <row r="122">
      <c r="A122" s="38" t="n"/>
      <c r="B122" s="405" t="inlineStr">
        <is>
          <t>AK</t>
        </is>
      </c>
      <c r="C122" s="405" t="inlineStr">
        <is>
          <t>RF</t>
        </is>
      </c>
      <c r="D122" s="405" t="inlineStr">
        <is>
          <t>1,1a</t>
        </is>
      </c>
      <c r="E122" s="405" t="inlineStr">
        <is>
          <t>O-5</t>
        </is>
      </c>
      <c r="F122" s="405" t="n">
        <v>4</v>
      </c>
      <c r="G122" s="405" t="n"/>
      <c r="H122" s="407" t="inlineStr">
        <is>
          <t>False</t>
        </is>
      </c>
      <c r="I122" s="292">
        <f>'4 | Calculation'!E611</f>
        <v/>
      </c>
      <c r="J122" s="407" t="inlineStr">
        <is>
          <t>%</t>
        </is>
      </c>
      <c r="K122" s="513">
        <f>'4 | Calculation'!F611</f>
        <v/>
      </c>
      <c r="L122" s="515">
        <f>'4 | Calculation'!G611</f>
        <v/>
      </c>
      <c r="M122" s="405" t="n"/>
    </row>
    <row r="123">
      <c r="A123" s="38" t="n"/>
      <c r="B123" s="405" t="inlineStr">
        <is>
          <t xml:space="preserve">PROFIT &amp; RISK </t>
        </is>
      </c>
      <c r="C123" s="405" t="inlineStr">
        <is>
          <t>RF</t>
        </is>
      </c>
      <c r="D123" s="405" t="inlineStr">
        <is>
          <t>1,1b</t>
        </is>
      </c>
      <c r="E123" s="405" t="inlineStr">
        <is>
          <t>O-4</t>
        </is>
      </c>
      <c r="F123" s="405" t="n">
        <v>4</v>
      </c>
      <c r="G123" s="405" t="n"/>
      <c r="H123" s="407" t="inlineStr">
        <is>
          <t>False</t>
        </is>
      </c>
      <c r="I123" s="292">
        <f>'4 | Calculation'!E612</f>
        <v/>
      </c>
      <c r="J123" s="407" t="inlineStr">
        <is>
          <t>%</t>
        </is>
      </c>
      <c r="K123" s="513">
        <f>'4 | Calculation'!F612</f>
        <v/>
      </c>
      <c r="L123" s="515">
        <f>'4 | Calculation'!G612</f>
        <v/>
      </c>
      <c r="M123" s="405" t="n"/>
    </row>
    <row r="124">
      <c r="A124" s="38" t="n"/>
      <c r="B124" s="296" t="inlineStr">
        <is>
          <t>INSURANCE</t>
        </is>
      </c>
      <c r="C124" s="296" t="inlineStr">
        <is>
          <t>RF</t>
        </is>
      </c>
      <c r="D124" s="296" t="inlineStr">
        <is>
          <t>1,1c</t>
        </is>
      </c>
      <c r="E124" s="296" t="inlineStr">
        <is>
          <t>O-2</t>
        </is>
      </c>
      <c r="F124" s="296" t="n">
        <v>4</v>
      </c>
      <c r="G124" s="296" t="n"/>
      <c r="H124" s="297" t="inlineStr">
        <is>
          <t>False</t>
        </is>
      </c>
      <c r="I124" s="298">
        <f>'4 | Calculation'!E617</f>
        <v/>
      </c>
      <c r="J124" s="297">
        <f>'4 | Calculation'!D617</f>
        <v/>
      </c>
      <c r="K124" s="524">
        <f>'4 | Calculation'!F617</f>
        <v/>
      </c>
      <c r="L124" s="525">
        <f>'4 | Calculation'!G617</f>
        <v/>
      </c>
      <c r="M124" s="405" t="n"/>
    </row>
  </sheetData>
  <pageMargins left="0.7" right="0.7" top="0.75" bottom="0.75" header="0.3" footer="0.3"/>
  <pageSetup orientation="portrait" horizontalDpi="1200" verticalDpi="12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K51"/>
  <sheetViews>
    <sheetView view="pageBreakPreview" zoomScaleNormal="100" zoomScaleSheetLayoutView="100" workbookViewId="0">
      <selection activeCell="E18" sqref="E18"/>
    </sheetView>
  </sheetViews>
  <sheetFormatPr baseColWidth="8" defaultColWidth="9" defaultRowHeight="12.75" outlineLevelRow="1"/>
  <cols>
    <col width="4.75" customWidth="1" style="10" min="1" max="1"/>
    <col width="4" customWidth="1" style="10" min="2" max="2"/>
    <col width="19.625" customWidth="1" style="10" min="3" max="3"/>
    <col width="3.125" customWidth="1" style="10" min="4" max="4"/>
    <col width="9" customWidth="1" style="10" min="5" max="8"/>
    <col width="8.125" customWidth="1" style="10" min="9" max="10"/>
    <col width="9" customWidth="1" style="10" min="11" max="16384"/>
  </cols>
  <sheetData>
    <row r="6" ht="66" customFormat="1" customHeight="1" s="334">
      <c r="A6" s="329" t="n"/>
      <c r="B6" s="330" t="n"/>
      <c r="C6" s="330" t="n"/>
      <c r="D6" s="330" t="n"/>
      <c r="E6" s="331" t="inlineStr">
        <is>
          <t>quantity</t>
        </is>
      </c>
      <c r="F6" s="331" t="inlineStr">
        <is>
          <t>length</t>
        </is>
      </c>
      <c r="G6" s="331" t="inlineStr">
        <is>
          <t>width</t>
        </is>
      </c>
      <c r="H6" s="331" t="inlineStr">
        <is>
          <t>height</t>
        </is>
      </c>
      <c r="I6" s="332" t="inlineStr">
        <is>
          <t>circumference</t>
        </is>
      </c>
      <c r="J6" s="333" t="inlineStr">
        <is>
          <t>surface area</t>
        </is>
      </c>
    </row>
    <row r="7" customFormat="1" s="335">
      <c r="A7" s="350" t="n"/>
      <c r="B7" s="351" t="n"/>
      <c r="C7" s="351" t="n"/>
      <c r="D7" s="351" t="n"/>
      <c r="E7" s="352" t="n"/>
      <c r="F7" s="352" t="inlineStr">
        <is>
          <t>l</t>
        </is>
      </c>
      <c r="G7" s="352" t="inlineStr">
        <is>
          <t>b</t>
        </is>
      </c>
      <c r="H7" s="352" t="inlineStr">
        <is>
          <t>h</t>
        </is>
      </c>
      <c r="I7" s="353" t="inlineStr">
        <is>
          <t>m¹</t>
        </is>
      </c>
      <c r="J7" s="354" t="inlineStr">
        <is>
          <t>m²</t>
        </is>
      </c>
    </row>
    <row r="8" ht="5.1" customFormat="1" customHeight="1" s="38">
      <c r="A8" s="416" t="n"/>
      <c r="B8" s="426" t="n"/>
      <c r="C8" s="426" t="n"/>
      <c r="D8" s="426" t="n"/>
      <c r="E8" s="426" t="n"/>
      <c r="F8" s="426" t="n"/>
      <c r="G8" s="426" t="n"/>
      <c r="H8" s="426" t="n"/>
      <c r="I8" s="426" t="n"/>
      <c r="J8" s="426" t="n"/>
      <c r="K8" s="48" t="n"/>
    </row>
    <row r="9">
      <c r="A9" s="355" t="n"/>
      <c r="B9" s="526" t="inlineStr">
        <is>
          <t>FLOORS</t>
        </is>
      </c>
      <c r="C9" s="426" t="n"/>
      <c r="D9" s="426" t="n"/>
      <c r="E9" s="426" t="n"/>
      <c r="F9" s="426" t="n"/>
      <c r="G9" s="426" t="n"/>
      <c r="H9" s="426" t="n"/>
      <c r="I9" s="426" t="n"/>
      <c r="J9" s="427" t="n"/>
    </row>
    <row r="10" outlineLevel="1" ht="5.1" customFormat="1" customHeight="1" s="38">
      <c r="A10" s="47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</row>
    <row r="11" outlineLevel="1">
      <c r="A11" s="527" t="n"/>
      <c r="B11" s="336" t="n">
        <v>1</v>
      </c>
      <c r="C11" s="424" t="inlineStr">
        <is>
          <t>Space XX…</t>
        </is>
      </c>
      <c r="D11" s="426" t="n"/>
      <c r="E11" s="337" t="n">
        <v>0</v>
      </c>
      <c r="F11" s="337" t="n"/>
      <c r="G11" s="337" t="n"/>
      <c r="H11" s="337" t="n"/>
      <c r="I11" s="338">
        <f>E11*((2*F11)+(2*G11))</f>
        <v/>
      </c>
      <c r="J11" s="339">
        <f>E11*F11*G11</f>
        <v/>
      </c>
    </row>
    <row r="12" outlineLevel="1">
      <c r="A12" s="435" t="n"/>
      <c r="B12" s="336" t="n">
        <v>2</v>
      </c>
      <c r="C12" s="424" t="inlineStr">
        <is>
          <t>Space XX…</t>
        </is>
      </c>
      <c r="D12" s="426" t="n"/>
      <c r="E12" s="337" t="n"/>
      <c r="F12" s="337" t="n"/>
      <c r="G12" s="337" t="n"/>
      <c r="H12" s="337" t="n"/>
      <c r="I12" s="338">
        <f>E12*((2*F12)+(2*G12))</f>
        <v/>
      </c>
      <c r="J12" s="339">
        <f>E12*F12*G12</f>
        <v/>
      </c>
    </row>
    <row r="13" outlineLevel="1">
      <c r="A13" s="435" t="n"/>
      <c r="B13" s="336" t="n">
        <v>3</v>
      </c>
      <c r="C13" s="424" t="inlineStr">
        <is>
          <t>Space XX…</t>
        </is>
      </c>
      <c r="D13" s="426" t="n"/>
      <c r="E13" s="337" t="n"/>
      <c r="F13" s="337" t="n"/>
      <c r="G13" s="337" t="n"/>
      <c r="H13" s="337" t="n"/>
      <c r="I13" s="338">
        <f>E13*((2*F13)+(2*G13))</f>
        <v/>
      </c>
      <c r="J13" s="339">
        <f>E13*F13*G13</f>
        <v/>
      </c>
    </row>
    <row r="14" outlineLevel="1">
      <c r="A14" s="435" t="n"/>
      <c r="B14" s="336" t="n">
        <v>4</v>
      </c>
      <c r="C14" s="424" t="inlineStr">
        <is>
          <t>Space XX…</t>
        </is>
      </c>
      <c r="D14" s="426" t="n"/>
      <c r="E14" s="337" t="n"/>
      <c r="F14" s="337" t="n"/>
      <c r="G14" s="337" t="n"/>
      <c r="H14" s="337" t="n"/>
      <c r="I14" s="338">
        <f>E14*((2*F14)+(2*G14))</f>
        <v/>
      </c>
      <c r="J14" s="339">
        <f>E14*F14*G14</f>
        <v/>
      </c>
    </row>
    <row r="15" outlineLevel="1">
      <c r="A15" s="435" t="n"/>
      <c r="B15" s="336" t="n">
        <v>5</v>
      </c>
      <c r="C15" s="424" t="inlineStr">
        <is>
          <t>Space XX…</t>
        </is>
      </c>
      <c r="D15" s="426" t="n"/>
      <c r="E15" s="337" t="n"/>
      <c r="F15" s="337" t="n"/>
      <c r="G15" s="337" t="n"/>
      <c r="H15" s="337" t="n"/>
      <c r="I15" s="338">
        <f>E15*((2*F15)+(2*G15))</f>
        <v/>
      </c>
      <c r="J15" s="339">
        <f>E15*F15*G15</f>
        <v/>
      </c>
    </row>
    <row r="16" outlineLevel="1">
      <c r="A16" s="435" t="n"/>
      <c r="B16" s="336" t="n">
        <v>6</v>
      </c>
      <c r="C16" s="424" t="inlineStr">
        <is>
          <t>Space XX…</t>
        </is>
      </c>
      <c r="D16" s="426" t="n"/>
      <c r="E16" s="337" t="n"/>
      <c r="F16" s="337" t="n"/>
      <c r="G16" s="337" t="n"/>
      <c r="H16" s="337" t="n"/>
      <c r="I16" s="338">
        <f>E16*((2*F16)+(2*G16))</f>
        <v/>
      </c>
      <c r="J16" s="339">
        <f>E16*F16*G16</f>
        <v/>
      </c>
    </row>
    <row r="17" outlineLevel="1">
      <c r="A17" s="435" t="n"/>
      <c r="B17" s="336" t="n">
        <v>7</v>
      </c>
      <c r="C17" s="424" t="inlineStr">
        <is>
          <t>Space XX…</t>
        </is>
      </c>
      <c r="D17" s="426" t="n"/>
      <c r="E17" s="337" t="n"/>
      <c r="F17" s="337" t="n"/>
      <c r="G17" s="337" t="n"/>
      <c r="H17" s="337" t="n"/>
      <c r="I17" s="338">
        <f>E17*((2*F17)+(2*G17))</f>
        <v/>
      </c>
      <c r="J17" s="339">
        <f>E17*F17*G17</f>
        <v/>
      </c>
    </row>
    <row r="18" outlineLevel="1">
      <c r="A18" s="435" t="n"/>
      <c r="B18" s="336" t="n">
        <v>8</v>
      </c>
      <c r="C18" s="424" t="inlineStr">
        <is>
          <t>Space XX…</t>
        </is>
      </c>
      <c r="D18" s="426" t="n"/>
      <c r="E18" s="337" t="n"/>
      <c r="F18" s="337" t="n"/>
      <c r="G18" s="337" t="n"/>
      <c r="H18" s="337" t="n"/>
      <c r="I18" s="338">
        <f>E18*((2*F18)+(2*G18))</f>
        <v/>
      </c>
      <c r="J18" s="339">
        <f>E18*F18*G18</f>
        <v/>
      </c>
    </row>
    <row r="19" outlineLevel="1">
      <c r="A19" s="435" t="n"/>
      <c r="B19" s="336" t="n">
        <v>9</v>
      </c>
      <c r="C19" s="424" t="inlineStr">
        <is>
          <t>Space XX…</t>
        </is>
      </c>
      <c r="D19" s="426" t="n"/>
      <c r="E19" s="337" t="n"/>
      <c r="F19" s="337" t="n"/>
      <c r="G19" s="337" t="n"/>
      <c r="H19" s="337" t="n"/>
      <c r="I19" s="338">
        <f>E19*((2*F19)+(2*G19))</f>
        <v/>
      </c>
      <c r="J19" s="339">
        <f>E19*F19*G19</f>
        <v/>
      </c>
    </row>
    <row r="20" outlineLevel="1">
      <c r="A20" s="437" t="n"/>
      <c r="B20" s="336" t="n">
        <v>10</v>
      </c>
      <c r="C20" s="424" t="inlineStr">
        <is>
          <t>Space XX…</t>
        </is>
      </c>
      <c r="D20" s="426" t="n"/>
      <c r="E20" s="337" t="n"/>
      <c r="F20" s="337" t="n"/>
      <c r="G20" s="337" t="n"/>
      <c r="H20" s="337" t="n"/>
      <c r="I20" s="338">
        <f>E20*((2*F20)+(2*G20))</f>
        <v/>
      </c>
      <c r="J20" s="339">
        <f>E20*F20*G20</f>
        <v/>
      </c>
    </row>
    <row r="21" outlineLevel="1">
      <c r="H21" s="340" t="inlineStr">
        <is>
          <t xml:space="preserve">TOTAL  </t>
        </is>
      </c>
      <c r="I21" s="341">
        <f>SUM(I11:I20)</f>
        <v/>
      </c>
      <c r="J21" s="341">
        <f>SUM(J11:J20)</f>
        <v/>
      </c>
    </row>
    <row r="22">
      <c r="I22" s="342" t="n"/>
      <c r="J22" s="342" t="n"/>
    </row>
    <row r="23">
      <c r="A23" s="355" t="n"/>
      <c r="B23" s="526" t="inlineStr">
        <is>
          <t>WALLS 1</t>
        </is>
      </c>
      <c r="C23" s="426" t="n"/>
      <c r="D23" s="426" t="n"/>
      <c r="E23" s="426" t="n"/>
      <c r="F23" s="426" t="n"/>
      <c r="G23" s="426" t="n"/>
      <c r="H23" s="426" t="n"/>
      <c r="I23" s="426" t="n"/>
      <c r="J23" s="427" t="n"/>
    </row>
    <row r="24" outlineLevel="1" ht="5.1" customFormat="1" customHeight="1" s="38">
      <c r="A24" s="416" t="n"/>
      <c r="B24" s="426" t="n"/>
      <c r="C24" s="426" t="n"/>
      <c r="D24" s="426" t="n"/>
      <c r="E24" s="426" t="n"/>
      <c r="F24" s="426" t="n"/>
      <c r="G24" s="426" t="n"/>
      <c r="H24" s="426" t="n"/>
      <c r="I24" s="426" t="n"/>
      <c r="J24" s="426" t="n"/>
      <c r="K24" s="48" t="n"/>
    </row>
    <row r="25" outlineLevel="1">
      <c r="A25" s="527" t="n"/>
      <c r="B25" s="336" t="n">
        <v>1</v>
      </c>
      <c r="C25" s="423" t="inlineStr">
        <is>
          <t>Wall XX…</t>
        </is>
      </c>
      <c r="D25" s="426" t="n"/>
      <c r="E25" s="343" t="n"/>
      <c r="F25" s="343" t="n"/>
      <c r="G25" s="343" t="n"/>
      <c r="H25" s="343" t="n"/>
      <c r="I25" s="344">
        <f>E25*F25</f>
        <v/>
      </c>
      <c r="J25" s="345">
        <f>E25*F25*H25</f>
        <v/>
      </c>
    </row>
    <row r="26" outlineLevel="1">
      <c r="A26" s="435" t="n"/>
      <c r="B26" s="336" t="n">
        <v>2</v>
      </c>
      <c r="C26" s="423" t="inlineStr">
        <is>
          <t>Wall XX…</t>
        </is>
      </c>
      <c r="D26" s="426" t="n"/>
      <c r="E26" s="343" t="n"/>
      <c r="F26" s="343" t="n"/>
      <c r="G26" s="343" t="n"/>
      <c r="H26" s="343" t="n"/>
      <c r="I26" s="344">
        <f>E26*F26</f>
        <v/>
      </c>
      <c r="J26" s="345">
        <f>E26*F26*H26</f>
        <v/>
      </c>
    </row>
    <row r="27" outlineLevel="1">
      <c r="A27" s="435" t="n"/>
      <c r="B27" s="336" t="n">
        <v>3</v>
      </c>
      <c r="C27" s="423" t="inlineStr">
        <is>
          <t>Wall XX…</t>
        </is>
      </c>
      <c r="D27" s="426" t="n"/>
      <c r="E27" s="343" t="n"/>
      <c r="F27" s="343" t="n"/>
      <c r="G27" s="343" t="n"/>
      <c r="H27" s="343" t="n"/>
      <c r="I27" s="344">
        <f>E27*F27</f>
        <v/>
      </c>
      <c r="J27" s="345">
        <f>E27*F27*H27</f>
        <v/>
      </c>
    </row>
    <row r="28" outlineLevel="1">
      <c r="A28" s="435" t="n"/>
      <c r="B28" s="336" t="n">
        <v>4</v>
      </c>
      <c r="C28" s="423" t="inlineStr">
        <is>
          <t>Wall XX…</t>
        </is>
      </c>
      <c r="D28" s="426" t="n"/>
      <c r="E28" s="343" t="n"/>
      <c r="F28" s="343" t="n"/>
      <c r="G28" s="343" t="n"/>
      <c r="H28" s="343" t="n"/>
      <c r="I28" s="344">
        <f>E28*F28</f>
        <v/>
      </c>
      <c r="J28" s="345">
        <f>E28*F28*H28</f>
        <v/>
      </c>
    </row>
    <row r="29" outlineLevel="1">
      <c r="A29" s="435" t="n"/>
      <c r="B29" s="336" t="n">
        <v>5</v>
      </c>
      <c r="C29" s="423" t="inlineStr">
        <is>
          <t>Wall XX…</t>
        </is>
      </c>
      <c r="D29" s="426" t="n"/>
      <c r="E29" s="343" t="n"/>
      <c r="F29" s="343" t="n"/>
      <c r="G29" s="343" t="n"/>
      <c r="H29" s="343" t="n"/>
      <c r="I29" s="344">
        <f>E29*F29</f>
        <v/>
      </c>
      <c r="J29" s="345">
        <f>E29*F29*H29</f>
        <v/>
      </c>
    </row>
    <row r="30" outlineLevel="1">
      <c r="A30" s="435" t="n"/>
      <c r="B30" s="336" t="n">
        <v>6</v>
      </c>
      <c r="C30" s="423" t="inlineStr">
        <is>
          <t>Wall XX…</t>
        </is>
      </c>
      <c r="D30" s="426" t="n"/>
      <c r="E30" s="343" t="n"/>
      <c r="F30" s="343" t="n"/>
      <c r="G30" s="343" t="n"/>
      <c r="H30" s="343" t="n"/>
      <c r="I30" s="344">
        <f>E30*F30</f>
        <v/>
      </c>
      <c r="J30" s="345">
        <f>E30*F30*H30</f>
        <v/>
      </c>
    </row>
    <row r="31" outlineLevel="1">
      <c r="A31" s="435" t="n"/>
      <c r="B31" s="336" t="n">
        <v>7</v>
      </c>
      <c r="C31" s="423" t="inlineStr">
        <is>
          <t>Wall XX…</t>
        </is>
      </c>
      <c r="D31" s="426" t="n"/>
      <c r="E31" s="343" t="n"/>
      <c r="F31" s="343" t="n"/>
      <c r="G31" s="343" t="n"/>
      <c r="H31" s="343" t="n"/>
      <c r="I31" s="344">
        <f>E31*F31</f>
        <v/>
      </c>
      <c r="J31" s="345">
        <f>E31*F31*H31</f>
        <v/>
      </c>
    </row>
    <row r="32" outlineLevel="1">
      <c r="A32" s="435" t="n"/>
      <c r="B32" s="336" t="n">
        <v>8</v>
      </c>
      <c r="C32" s="423" t="inlineStr">
        <is>
          <t>Wall XX…</t>
        </is>
      </c>
      <c r="D32" s="426" t="n"/>
      <c r="E32" s="343" t="n"/>
      <c r="F32" s="343" t="n"/>
      <c r="G32" s="343" t="n"/>
      <c r="H32" s="343" t="n"/>
      <c r="I32" s="344">
        <f>E32*F32</f>
        <v/>
      </c>
      <c r="J32" s="345">
        <f>E32*F32*H32</f>
        <v/>
      </c>
    </row>
    <row r="33" outlineLevel="1">
      <c r="A33" s="435" t="n"/>
      <c r="B33" s="336" t="n">
        <v>9</v>
      </c>
      <c r="C33" s="423" t="inlineStr">
        <is>
          <t>Wall XX…</t>
        </is>
      </c>
      <c r="D33" s="426" t="n"/>
      <c r="E33" s="343" t="n"/>
      <c r="F33" s="343" t="n"/>
      <c r="G33" s="343" t="n"/>
      <c r="H33" s="343" t="n"/>
      <c r="I33" s="344">
        <f>E33*F33</f>
        <v/>
      </c>
      <c r="J33" s="345">
        <f>E33*F33*H33</f>
        <v/>
      </c>
    </row>
    <row r="34" outlineLevel="1">
      <c r="A34" s="437" t="n"/>
      <c r="B34" s="336" t="n">
        <v>10</v>
      </c>
      <c r="C34" s="423" t="inlineStr">
        <is>
          <t>Wall XX…</t>
        </is>
      </c>
      <c r="D34" s="426" t="n"/>
      <c r="E34" s="343" t="n"/>
      <c r="F34" s="343" t="n"/>
      <c r="G34" s="343" t="n"/>
      <c r="H34" s="343" t="n"/>
      <c r="I34" s="344">
        <f>E34*F34</f>
        <v/>
      </c>
      <c r="J34" s="345">
        <f>E34*F34*H34</f>
        <v/>
      </c>
    </row>
    <row r="35" outlineLevel="1">
      <c r="H35" s="340" t="inlineStr">
        <is>
          <t xml:space="preserve">TOTAL  </t>
        </is>
      </c>
      <c r="I35" s="341">
        <f>SUM(I25:I34)</f>
        <v/>
      </c>
      <c r="J35" s="341">
        <f>SUM(J25:J34)</f>
        <v/>
      </c>
    </row>
    <row r="36" outlineLevel="1">
      <c r="A36" s="346" t="n"/>
      <c r="B36" s="346" t="n"/>
      <c r="C36" s="346" t="n"/>
      <c r="D36" s="346" t="n"/>
      <c r="E36" s="346" t="n"/>
      <c r="F36" s="346" t="n"/>
      <c r="G36" s="346" t="n"/>
      <c r="H36" s="347" t="inlineStr">
        <is>
          <t>Glass</t>
        </is>
      </c>
      <c r="I36" s="348" t="n">
        <v>0</v>
      </c>
      <c r="J36" s="349">
        <f>J35*I36</f>
        <v/>
      </c>
    </row>
    <row r="37" outlineLevel="1">
      <c r="A37" s="346" t="n"/>
      <c r="B37" s="346" t="n"/>
      <c r="C37" s="346" t="n"/>
      <c r="D37" s="346" t="n"/>
      <c r="E37" s="346" t="n"/>
      <c r="F37" s="346" t="n"/>
      <c r="G37" s="346" t="n"/>
      <c r="H37" s="347" t="inlineStr">
        <is>
          <t>Close</t>
        </is>
      </c>
      <c r="I37" s="348" t="n">
        <v>0</v>
      </c>
      <c r="J37" s="349">
        <f>J35*I37</f>
        <v/>
      </c>
    </row>
    <row r="39">
      <c r="A39" s="355" t="n"/>
      <c r="B39" s="526" t="inlineStr">
        <is>
          <t>WALLS 2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7" t="n"/>
    </row>
    <row r="40" outlineLevel="1" ht="5.1" customFormat="1" customHeight="1" s="38">
      <c r="A40" s="416" t="n"/>
      <c r="B40" s="426" t="n"/>
      <c r="C40" s="426" t="n"/>
      <c r="D40" s="426" t="n"/>
      <c r="E40" s="426" t="n"/>
      <c r="F40" s="426" t="n"/>
      <c r="G40" s="426" t="n"/>
      <c r="H40" s="426" t="n"/>
      <c r="I40" s="426" t="n"/>
      <c r="J40" s="426" t="n"/>
      <c r="K40" s="48" t="n"/>
    </row>
    <row r="41" outlineLevel="1">
      <c r="A41" s="527" t="n"/>
      <c r="B41" s="336" t="n">
        <v>1</v>
      </c>
      <c r="C41" s="423" t="inlineStr">
        <is>
          <t>Wall XX…</t>
        </is>
      </c>
      <c r="D41" s="426" t="n"/>
      <c r="E41" s="343" t="n"/>
      <c r="F41" s="343" t="n"/>
      <c r="G41" s="343" t="n"/>
      <c r="H41" s="343" t="n"/>
      <c r="I41" s="344">
        <f>E41*F41</f>
        <v/>
      </c>
      <c r="J41" s="345">
        <f>E41*F41*H41</f>
        <v/>
      </c>
    </row>
    <row r="42" outlineLevel="1">
      <c r="A42" s="435" t="n"/>
      <c r="B42" s="336" t="n">
        <v>2</v>
      </c>
      <c r="C42" s="423" t="inlineStr">
        <is>
          <t>Wall XX…</t>
        </is>
      </c>
      <c r="D42" s="426" t="n"/>
      <c r="E42" s="343" t="n"/>
      <c r="F42" s="343" t="n"/>
      <c r="G42" s="343" t="n"/>
      <c r="H42" s="343" t="n"/>
      <c r="I42" s="344">
        <f>E42*F42</f>
        <v/>
      </c>
      <c r="J42" s="345">
        <f>E42*F42*H42</f>
        <v/>
      </c>
    </row>
    <row r="43" outlineLevel="1">
      <c r="A43" s="435" t="n"/>
      <c r="B43" s="336" t="n">
        <v>3</v>
      </c>
      <c r="C43" s="423" t="inlineStr">
        <is>
          <t>Wall XX…</t>
        </is>
      </c>
      <c r="D43" s="426" t="n"/>
      <c r="E43" s="343" t="n"/>
      <c r="F43" s="343" t="n"/>
      <c r="G43" s="343" t="n"/>
      <c r="H43" s="343" t="n"/>
      <c r="I43" s="344">
        <f>E43*F43</f>
        <v/>
      </c>
      <c r="J43" s="345">
        <f>E43*F43*H43</f>
        <v/>
      </c>
    </row>
    <row r="44" outlineLevel="1">
      <c r="A44" s="435" t="n"/>
      <c r="B44" s="336" t="n">
        <v>4</v>
      </c>
      <c r="C44" s="423" t="inlineStr">
        <is>
          <t>Wall XX…</t>
        </is>
      </c>
      <c r="D44" s="426" t="n"/>
      <c r="E44" s="343" t="n"/>
      <c r="F44" s="343" t="n"/>
      <c r="G44" s="343" t="n"/>
      <c r="H44" s="343" t="n"/>
      <c r="I44" s="344">
        <f>E44*F44</f>
        <v/>
      </c>
      <c r="J44" s="345">
        <f>E44*F44*H44</f>
        <v/>
      </c>
    </row>
    <row r="45" outlineLevel="1">
      <c r="A45" s="435" t="n"/>
      <c r="B45" s="336" t="n">
        <v>5</v>
      </c>
      <c r="C45" s="423" t="inlineStr">
        <is>
          <t>Wall XX…</t>
        </is>
      </c>
      <c r="D45" s="426" t="n"/>
      <c r="E45" s="343" t="n"/>
      <c r="F45" s="343" t="n"/>
      <c r="G45" s="343" t="n"/>
      <c r="H45" s="343" t="n"/>
      <c r="I45" s="344">
        <f>E45*F45</f>
        <v/>
      </c>
      <c r="J45" s="345">
        <f>E45*F45*H45</f>
        <v/>
      </c>
    </row>
    <row r="46" outlineLevel="1">
      <c r="A46" s="435" t="n"/>
      <c r="B46" s="336" t="n">
        <v>6</v>
      </c>
      <c r="C46" s="423" t="inlineStr">
        <is>
          <t>Wall XX…</t>
        </is>
      </c>
      <c r="D46" s="426" t="n"/>
      <c r="E46" s="343" t="n"/>
      <c r="F46" s="343" t="n"/>
      <c r="G46" s="343" t="n"/>
      <c r="H46" s="343" t="n"/>
      <c r="I46" s="344">
        <f>E46*F46</f>
        <v/>
      </c>
      <c r="J46" s="345">
        <f>E46*F46*H46</f>
        <v/>
      </c>
    </row>
    <row r="47" outlineLevel="1">
      <c r="A47" s="435" t="n"/>
      <c r="B47" s="336" t="n">
        <v>7</v>
      </c>
      <c r="C47" s="423" t="inlineStr">
        <is>
          <t>Wall XX…</t>
        </is>
      </c>
      <c r="D47" s="426" t="n"/>
      <c r="E47" s="343" t="n"/>
      <c r="F47" s="343" t="n"/>
      <c r="G47" s="343" t="n"/>
      <c r="H47" s="343" t="n"/>
      <c r="I47" s="344">
        <f>E47*F47</f>
        <v/>
      </c>
      <c r="J47" s="345">
        <f>E47*F47*H47</f>
        <v/>
      </c>
    </row>
    <row r="48" outlineLevel="1">
      <c r="A48" s="435" t="n"/>
      <c r="B48" s="336" t="n">
        <v>8</v>
      </c>
      <c r="C48" s="423" t="inlineStr">
        <is>
          <t>Wall XX…</t>
        </is>
      </c>
      <c r="D48" s="426" t="n"/>
      <c r="E48" s="343" t="n"/>
      <c r="F48" s="343" t="n"/>
      <c r="G48" s="343" t="n"/>
      <c r="H48" s="343" t="n"/>
      <c r="I48" s="344">
        <f>E48*F48</f>
        <v/>
      </c>
      <c r="J48" s="345">
        <f>E48*F48*H48</f>
        <v/>
      </c>
    </row>
    <row r="49" outlineLevel="1">
      <c r="A49" s="435" t="n"/>
      <c r="B49" s="336" t="n">
        <v>9</v>
      </c>
      <c r="C49" s="423" t="inlineStr">
        <is>
          <t>Wall XX…</t>
        </is>
      </c>
      <c r="D49" s="426" t="n"/>
      <c r="E49" s="343" t="n"/>
      <c r="F49" s="343" t="n"/>
      <c r="G49" s="343" t="n"/>
      <c r="H49" s="343" t="n"/>
      <c r="I49" s="344">
        <f>E49*F49</f>
        <v/>
      </c>
      <c r="J49" s="345">
        <f>E49*F49*H49</f>
        <v/>
      </c>
    </row>
    <row r="50" outlineLevel="1">
      <c r="A50" s="437" t="n"/>
      <c r="B50" s="336" t="n">
        <v>10</v>
      </c>
      <c r="C50" s="423" t="inlineStr">
        <is>
          <t>Wall XX…</t>
        </is>
      </c>
      <c r="D50" s="426" t="n"/>
      <c r="E50" s="343" t="n"/>
      <c r="F50" s="343" t="n"/>
      <c r="G50" s="343" t="n"/>
      <c r="H50" s="343" t="n"/>
      <c r="I50" s="344">
        <f>E50*F50</f>
        <v/>
      </c>
      <c r="J50" s="345">
        <f>E50*F50*H50</f>
        <v/>
      </c>
    </row>
    <row r="51" outlineLevel="1">
      <c r="H51" s="340" t="inlineStr">
        <is>
          <t xml:space="preserve">TOTAL  </t>
        </is>
      </c>
      <c r="I51" s="341">
        <f>SUM(I41:I50)</f>
        <v/>
      </c>
      <c r="J51" s="341">
        <f>SUM(J41:J50)</f>
        <v/>
      </c>
    </row>
  </sheetData>
  <mergeCells count="39">
    <mergeCell ref="C34:D34"/>
    <mergeCell ref="C30:D30"/>
    <mergeCell ref="A8:J8"/>
    <mergeCell ref="C15:D15"/>
    <mergeCell ref="C33:D33"/>
    <mergeCell ref="C42:D42"/>
    <mergeCell ref="B23:J23"/>
    <mergeCell ref="C45:D45"/>
    <mergeCell ref="C14:D14"/>
    <mergeCell ref="C26:D26"/>
    <mergeCell ref="C20:D20"/>
    <mergeCell ref="C29:D29"/>
    <mergeCell ref="C47:D47"/>
    <mergeCell ref="C16:D16"/>
    <mergeCell ref="A40:J40"/>
    <mergeCell ref="C25:D25"/>
    <mergeCell ref="C41:D41"/>
    <mergeCell ref="C50:D50"/>
    <mergeCell ref="B9:J9"/>
    <mergeCell ref="C44:D44"/>
    <mergeCell ref="A11:A20"/>
    <mergeCell ref="A24:J24"/>
    <mergeCell ref="C31:D31"/>
    <mergeCell ref="C43:D43"/>
    <mergeCell ref="C12:D12"/>
    <mergeCell ref="C46:D46"/>
    <mergeCell ref="A25:A34"/>
    <mergeCell ref="C11:D11"/>
    <mergeCell ref="C27:D27"/>
    <mergeCell ref="A41:A50"/>
    <mergeCell ref="C48:D48"/>
    <mergeCell ref="C17:D17"/>
    <mergeCell ref="C32:D32"/>
    <mergeCell ref="C19:D19"/>
    <mergeCell ref="C28:D28"/>
    <mergeCell ref="C13:D13"/>
    <mergeCell ref="C18:D18"/>
    <mergeCell ref="B39:J39"/>
    <mergeCell ref="C49:D49"/>
  </mergeCells>
  <conditionalFormatting sqref="E11:H20 E25:H34 E41:H50 I36:I37">
    <cfRule type="cellIs" priority="2" operator="lessThanOrEqual" dxfId="1">
      <formula>0</formula>
    </cfRule>
  </conditionalFormatting>
  <conditionalFormatting sqref="E11:H20">
    <cfRule type="cellIs" priority="3" operator="greaterThan">
      <formula>0</formula>
    </cfRule>
  </conditionalFormatting>
  <conditionalFormatting sqref="I11:J21 I25:J34 I35 I41:J51 J35:J37">
    <cfRule type="cellIs" priority="1" operator="lessThanOrEqual" dxfId="0">
      <formula>0</formula>
    </cfRule>
  </conditionalFormatting>
  <pageMargins left="0.7086614173228347" right="0.7086614173228347" top="0.6299212598425197" bottom="0.7480314960629921" header="0.3149606299212598" footer="0.3149606299212598"/>
  <pageSetup orientation="portrait" paperSize="9" scale="87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45"/>
  <sheetViews>
    <sheetView view="pageBreakPreview" zoomScale="115" zoomScaleNormal="100" zoomScaleSheetLayoutView="115" workbookViewId="0">
      <selection activeCell="C32" sqref="C32"/>
    </sheetView>
  </sheetViews>
  <sheetFormatPr baseColWidth="8" defaultColWidth="9" defaultRowHeight="12.75"/>
  <cols>
    <col width="9" customWidth="1" style="10" min="1" max="1"/>
    <col width="18.375" customWidth="1" style="10" min="2" max="2"/>
    <col width="22.875" customWidth="1" style="10" min="3" max="3"/>
    <col width="9" customWidth="1" style="10" min="4" max="16384"/>
  </cols>
  <sheetData>
    <row r="1" customFormat="1" s="87">
      <c r="I1" s="100" t="n"/>
    </row>
    <row r="2" customFormat="1" s="87">
      <c r="I2" s="100" t="n"/>
    </row>
    <row r="3" customFormat="1" s="87">
      <c r="I3" s="100" t="n"/>
    </row>
    <row r="4" customFormat="1" s="87">
      <c r="I4" s="100" t="n"/>
    </row>
    <row r="5" customFormat="1" s="87">
      <c r="I5" s="100" t="n"/>
    </row>
    <row r="6" customFormat="1" s="87">
      <c r="I6" s="100" t="n"/>
    </row>
    <row r="9">
      <c r="B9" s="357" t="inlineStr">
        <is>
          <t>Input a la 'uitputting'</t>
        </is>
      </c>
      <c r="C9" s="21" t="n"/>
      <c r="D9" s="21" t="n"/>
      <c r="E9" s="21" t="n"/>
      <c r="F9" s="14" t="n"/>
    </row>
    <row r="10">
      <c r="B10" s="358" t="inlineStr">
        <is>
          <t>In the pink colomn of the budget, we enter the supplier's name after the budget amount.</t>
        </is>
      </c>
      <c r="F10" s="13" t="n"/>
    </row>
    <row r="11">
      <c r="B11" s="358" t="inlineStr">
        <is>
          <t>If several  items in the budget are allocated to the same supplier we can check the total</t>
        </is>
      </c>
      <c r="F11" s="13" t="n"/>
    </row>
    <row r="12">
      <c r="B12" s="28" t="inlineStr">
        <is>
          <t>here to see if it matches the quote received.</t>
        </is>
      </c>
      <c r="F12" s="13" t="n"/>
    </row>
    <row r="13">
      <c r="B13" s="28" t="n"/>
      <c r="F13" s="13" t="n"/>
    </row>
    <row r="14">
      <c r="B14" s="359" t="inlineStr">
        <is>
          <t>Name</t>
        </is>
      </c>
      <c r="C14" s="360" t="inlineStr">
        <is>
          <t>Total amount</t>
        </is>
      </c>
      <c r="F14" s="13" t="n"/>
    </row>
    <row r="15">
      <c r="B15" s="28" t="inlineStr">
        <is>
          <t>-</t>
        </is>
      </c>
      <c r="C15" s="528">
        <f>SUMIF('4 | Calculation'!$I$18:$I$617,'Check quote amounts'!B15,'4 | Calculation'!$M$18:$M$617)</f>
        <v/>
      </c>
      <c r="F15" s="13" t="n"/>
    </row>
    <row r="16">
      <c r="B16" s="28" t="inlineStr">
        <is>
          <t>-</t>
        </is>
      </c>
      <c r="C16" s="528">
        <f>SUMIF('4 | Calculation'!$I$18:$I$617,'Check quote amounts'!B16,'4 | Calculation'!$M$18:$M$617)</f>
        <v/>
      </c>
      <c r="F16" s="13" t="n"/>
    </row>
    <row r="17">
      <c r="B17" s="28" t="inlineStr">
        <is>
          <t>-</t>
        </is>
      </c>
      <c r="C17" s="528">
        <f>SUMIF('4 | Calculation'!$I$18:$I$617,'Check quote amounts'!B17,'4 | Calculation'!$M$18:$M$617)</f>
        <v/>
      </c>
      <c r="F17" s="13" t="n"/>
    </row>
    <row r="18">
      <c r="B18" s="28" t="inlineStr">
        <is>
          <t>-</t>
        </is>
      </c>
      <c r="C18" s="528">
        <f>SUMIF('4 | Calculation'!$I$18:$I$617,'Check quote amounts'!B18,'4 | Calculation'!$M$18:$M$617)</f>
        <v/>
      </c>
      <c r="F18" s="13" t="n"/>
    </row>
    <row r="19">
      <c r="B19" s="28" t="inlineStr">
        <is>
          <t>-</t>
        </is>
      </c>
      <c r="C19" s="528">
        <f>SUMIF('4 | Calculation'!$I$18:$I$617,'Check quote amounts'!B19,'4 | Calculation'!$M$18:$M$617)</f>
        <v/>
      </c>
      <c r="F19" s="13" t="n"/>
    </row>
    <row r="20">
      <c r="B20" s="28" t="inlineStr">
        <is>
          <t>-</t>
        </is>
      </c>
      <c r="C20" s="528">
        <f>SUMIF('4 | Calculation'!$I$18:$I$617,'Check quote amounts'!B20,'4 | Calculation'!$M$18:$M$617)</f>
        <v/>
      </c>
      <c r="F20" s="13" t="n"/>
    </row>
    <row r="21">
      <c r="B21" s="28" t="inlineStr">
        <is>
          <t>-</t>
        </is>
      </c>
      <c r="C21" s="528">
        <f>SUMIF('4 | Calculation'!$I$18:$I$617,'Check quote amounts'!B21,'4 | Calculation'!$M$18:$M$617)</f>
        <v/>
      </c>
      <c r="F21" s="13" t="n"/>
    </row>
    <row r="22">
      <c r="B22" s="28" t="inlineStr">
        <is>
          <t>-</t>
        </is>
      </c>
      <c r="C22" s="528">
        <f>SUMIF('4 | Calculation'!$I$18:$I$617,'Check quote amounts'!B22,'4 | Calculation'!$M$18:$M$617)</f>
        <v/>
      </c>
      <c r="F22" s="13" t="n"/>
    </row>
    <row r="23">
      <c r="B23" s="28" t="inlineStr">
        <is>
          <t>-</t>
        </is>
      </c>
      <c r="C23" s="528">
        <f>SUMIF('4 | Calculation'!$I$18:$I$617,'Check quote amounts'!B23,'4 | Calculation'!$M$18:$M$617)</f>
        <v/>
      </c>
      <c r="F23" s="13" t="n"/>
    </row>
    <row r="24">
      <c r="B24" s="28" t="inlineStr">
        <is>
          <t>-</t>
        </is>
      </c>
      <c r="C24" s="528">
        <f>SUMIF('4 | Calculation'!$I$18:$I$617,'Check quote amounts'!B24,'4 | Calculation'!$M$18:$M$617)</f>
        <v/>
      </c>
      <c r="F24" s="13" t="n"/>
    </row>
    <row r="25">
      <c r="B25" s="28" t="inlineStr">
        <is>
          <t>-</t>
        </is>
      </c>
      <c r="C25" s="528">
        <f>SUMIF('4 | Calculation'!$I$18:$I$617,'Check quote amounts'!B25,'4 | Calculation'!$M$18:$M$617)</f>
        <v/>
      </c>
      <c r="F25" s="13" t="n"/>
    </row>
    <row r="26">
      <c r="B26" s="28" t="inlineStr">
        <is>
          <t>-</t>
        </is>
      </c>
      <c r="C26" s="528">
        <f>SUMIF('4 | Calculation'!$I$18:$I$617,'Check quote amounts'!B26,'4 | Calculation'!$M$18:$M$617)</f>
        <v/>
      </c>
      <c r="F26" s="13" t="n"/>
    </row>
    <row r="27">
      <c r="B27" s="28" t="inlineStr">
        <is>
          <t>-</t>
        </is>
      </c>
      <c r="C27" s="528">
        <f>SUMIF('4 | Calculation'!$I$18:$I$617,'Check quote amounts'!B27,'4 | Calculation'!$M$18:$M$617)</f>
        <v/>
      </c>
      <c r="F27" s="13" t="n"/>
    </row>
    <row r="28">
      <c r="B28" s="28" t="inlineStr">
        <is>
          <t>-</t>
        </is>
      </c>
      <c r="C28" s="528">
        <f>SUMIF('4 | Calculation'!$I$18:$I$617,'Check quote amounts'!B28,'4 | Calculation'!$M$18:$M$617)</f>
        <v/>
      </c>
      <c r="F28" s="13" t="n"/>
    </row>
    <row r="29">
      <c r="B29" s="28" t="inlineStr">
        <is>
          <t>-</t>
        </is>
      </c>
      <c r="C29" s="528">
        <f>SUMIF('4 | Calculation'!$I$18:$I$617,'Check quote amounts'!B29,'4 | Calculation'!$M$18:$M$617)</f>
        <v/>
      </c>
      <c r="F29" s="13" t="n"/>
    </row>
    <row r="30">
      <c r="B30" s="28" t="inlineStr">
        <is>
          <t>-</t>
        </is>
      </c>
      <c r="C30" s="528">
        <f>SUMIF('4 | Calculation'!$I$18:$I$617,'Check quote amounts'!B30,'4 | Calculation'!$M$18:$M$617)</f>
        <v/>
      </c>
      <c r="F30" s="13" t="n"/>
    </row>
    <row r="31">
      <c r="B31" s="28" t="inlineStr">
        <is>
          <t>-</t>
        </is>
      </c>
      <c r="C31" s="528">
        <f>SUMIF('4 | Calculation'!$I$18:$I$617,'Check quote amounts'!B31,'4 | Calculation'!$M$18:$M$617)</f>
        <v/>
      </c>
      <c r="F31" s="13" t="n"/>
    </row>
    <row r="32">
      <c r="B32" s="28" t="inlineStr">
        <is>
          <t>-</t>
        </is>
      </c>
      <c r="C32" s="528">
        <f>SUMIF('4 | Calculation'!$I$18:$I$617,'Check quote amounts'!B32,'4 | Calculation'!$M$18:$M$617)</f>
        <v/>
      </c>
      <c r="F32" s="13" t="n"/>
    </row>
    <row r="33">
      <c r="B33" s="28" t="inlineStr">
        <is>
          <t>-</t>
        </is>
      </c>
      <c r="C33" s="528">
        <f>SUMIF('4 | Calculation'!$I$18:$I$617,'Check quote amounts'!B33,'4 | Calculation'!$M$18:$M$617)</f>
        <v/>
      </c>
      <c r="F33" s="13" t="n"/>
    </row>
    <row r="34">
      <c r="B34" s="28" t="inlineStr">
        <is>
          <t>-</t>
        </is>
      </c>
      <c r="C34" s="528">
        <f>SUMIF('4 | Calculation'!$I$18:$I$617,'Check quote amounts'!B34,'4 | Calculation'!$M$18:$M$617)</f>
        <v/>
      </c>
      <c r="F34" s="13" t="n"/>
    </row>
    <row r="35">
      <c r="B35" s="28" t="inlineStr">
        <is>
          <t>-</t>
        </is>
      </c>
      <c r="C35" s="528">
        <f>SUMIF('4 | Calculation'!$I$18:$I$617,'Check quote amounts'!B35,'4 | Calculation'!$M$18:$M$617)</f>
        <v/>
      </c>
      <c r="F35" s="13" t="n"/>
    </row>
    <row r="36">
      <c r="B36" s="28" t="inlineStr">
        <is>
          <t>-</t>
        </is>
      </c>
      <c r="C36" s="528">
        <f>SUMIF('4 | Calculation'!$I$18:$I$617,'Check quote amounts'!B36,'4 | Calculation'!$M$18:$M$617)</f>
        <v/>
      </c>
      <c r="F36" s="13" t="n"/>
    </row>
    <row r="37">
      <c r="B37" s="28" t="inlineStr">
        <is>
          <t>-</t>
        </is>
      </c>
      <c r="C37" s="528">
        <f>SUMIF('4 | Calculation'!$I$18:$I$617,'Check quote amounts'!B37,'4 | Calculation'!$M$18:$M$617)</f>
        <v/>
      </c>
      <c r="F37" s="13" t="n"/>
    </row>
    <row r="38">
      <c r="B38" s="28" t="inlineStr">
        <is>
          <t>-</t>
        </is>
      </c>
      <c r="C38" s="528">
        <f>SUMIF('4 | Calculation'!$I$18:$I$617,'Check quote amounts'!B38,'4 | Calculation'!$M$18:$M$617)</f>
        <v/>
      </c>
      <c r="F38" s="13" t="n"/>
    </row>
    <row r="39">
      <c r="B39" s="28" t="inlineStr">
        <is>
          <t>-</t>
        </is>
      </c>
      <c r="C39" s="528">
        <f>SUMIF('4 | Calculation'!$I$18:$I$618,'Check quote amounts'!B39,'4 | Calculation'!$M$18:$M$618)</f>
        <v/>
      </c>
      <c r="F39" s="13" t="n"/>
    </row>
    <row r="40" ht="13.5" customHeight="1" thickBot="1">
      <c r="B40" s="28" t="n"/>
      <c r="C40" s="529" t="n"/>
      <c r="F40" s="13" t="n"/>
    </row>
    <row r="41" ht="13.5" customHeight="1" thickTop="1">
      <c r="B41" s="28" t="n"/>
      <c r="C41" s="528">
        <f>SUM(C15:C39)</f>
        <v/>
      </c>
      <c r="F41" s="13" t="n"/>
    </row>
    <row r="42">
      <c r="B42" s="30" t="n"/>
      <c r="C42" s="530" t="n"/>
      <c r="D42" s="26" t="n"/>
      <c r="E42" s="26" t="n"/>
      <c r="F42" s="17" t="n"/>
    </row>
    <row r="43">
      <c r="C43" s="531" t="n"/>
    </row>
    <row r="44">
      <c r="C44" s="531" t="n"/>
    </row>
    <row r="45">
      <c r="C45" s="531" t="n"/>
    </row>
  </sheetData>
  <pageMargins left="0.7086614173228347" right="0.7086614173228347" top="0.6299212598425197" bottom="0.7480314960629921" header="0.3149606299212598" footer="0.3149606299212598"/>
  <pageSetup orientation="portrait" paperSize="9" scale="98"/>
  <colBreaks count="1" manualBreakCount="1">
    <brk id="7" min="0" max="1048575" man="1"/>
  </colBreaks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7"/>
  <sheetViews>
    <sheetView workbookViewId="0">
      <selection activeCell="A8" sqref="A8"/>
    </sheetView>
  </sheetViews>
  <sheetFormatPr baseColWidth="8" defaultRowHeight="11.25"/>
  <sheetData>
    <row r="1">
      <c r="A1" t="inlineStr">
        <is>
          <t>Categorie</t>
        </is>
      </c>
    </row>
    <row r="2">
      <c r="A2" t="inlineStr">
        <is>
          <t>post</t>
        </is>
      </c>
    </row>
    <row r="3">
      <c r="A3" t="inlineStr">
        <is>
          <t>stelpost</t>
        </is>
      </c>
    </row>
    <row r="4">
      <c r="A4" t="inlineStr">
        <is>
          <t>p.m.</t>
        </is>
      </c>
    </row>
    <row r="5">
      <c r="A5" t="inlineStr">
        <is>
          <t>m1</t>
        </is>
      </c>
    </row>
    <row r="6">
      <c r="A6" t="inlineStr">
        <is>
          <t>m2</t>
        </is>
      </c>
    </row>
    <row r="7">
      <c r="A7" t="inlineStr">
        <is>
          <t>stuks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Jaap Geujen/NLD</dc:creator>
  <dcterms:created xsi:type="dcterms:W3CDTF">2018-04-03T09:06:42Z</dcterms:created>
  <dcterms:modified xsi:type="dcterms:W3CDTF">2026-07-05T10:16:03Z</dcterms:modified>
  <cp:lastModifiedBy>Ardin Bergh/NLD</cp:lastModifiedBy>
  <cp:lastPrinted>2026-03-25T08:46:32Z</cp:lastPrinted>
</cp:coreProperties>
</file>